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cloud-my.sharepoint.com/personal/e_moss-marks_lse_ac_uk/Documents/"/>
    </mc:Choice>
  </mc:AlternateContent>
  <xr:revisionPtr revIDLastSave="0" documentId="8_{4FEC9A05-E8BA-4C76-BB85-9886A1E2246D}" xr6:coauthVersionLast="47" xr6:coauthVersionMax="47" xr10:uidLastSave="{00000000-0000-0000-0000-000000000000}"/>
  <bookViews>
    <workbookView xWindow="24" yWindow="60" windowWidth="11736" windowHeight="11796" xr2:uid="{AC2AC772-67AB-4C44-8B8F-288930B4DC9D}"/>
  </bookViews>
  <sheets>
    <sheet name="taylorfrancisbib" sheetId="2" r:id="rId1"/>
  </sheets>
  <calcPr calcId="0"/>
</workbook>
</file>

<file path=xl/calcChain.xml><?xml version="1.0" encoding="utf-8"?>
<calcChain xmlns="http://schemas.openxmlformats.org/spreadsheetml/2006/main">
  <c r="B18" i="2" l="1"/>
  <c r="B34" i="2"/>
  <c r="B50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2" i="2"/>
  <c r="S2" i="2"/>
  <c r="Q3" i="2"/>
  <c r="B3" i="2" s="1"/>
  <c r="Q4" i="2"/>
  <c r="B4" i="2" s="1"/>
  <c r="Q5" i="2"/>
  <c r="B5" i="2" s="1"/>
  <c r="Q6" i="2"/>
  <c r="B6" i="2" s="1"/>
  <c r="Q7" i="2"/>
  <c r="B7" i="2" s="1"/>
  <c r="Q8" i="2"/>
  <c r="B8" i="2" s="1"/>
  <c r="Q9" i="2"/>
  <c r="B9" i="2" s="1"/>
  <c r="Q10" i="2"/>
  <c r="B10" i="2" s="1"/>
  <c r="Q11" i="2"/>
  <c r="B11" i="2" s="1"/>
  <c r="Q12" i="2"/>
  <c r="B12" i="2" s="1"/>
  <c r="Q13" i="2"/>
  <c r="B13" i="2" s="1"/>
  <c r="Q14" i="2"/>
  <c r="B14" i="2" s="1"/>
  <c r="Q15" i="2"/>
  <c r="B15" i="2" s="1"/>
  <c r="Q16" i="2"/>
  <c r="B16" i="2" s="1"/>
  <c r="Q17" i="2"/>
  <c r="B17" i="2" s="1"/>
  <c r="Q18" i="2"/>
  <c r="Q19" i="2"/>
  <c r="B19" i="2" s="1"/>
  <c r="Q20" i="2"/>
  <c r="B20" i="2" s="1"/>
  <c r="Q21" i="2"/>
  <c r="B21" i="2" s="1"/>
  <c r="Q22" i="2"/>
  <c r="B22" i="2" s="1"/>
  <c r="Q23" i="2"/>
  <c r="B23" i="2" s="1"/>
  <c r="Q24" i="2"/>
  <c r="B24" i="2" s="1"/>
  <c r="Q25" i="2"/>
  <c r="Q26" i="2"/>
  <c r="B26" i="2" s="1"/>
  <c r="Q27" i="2"/>
  <c r="B27" i="2" s="1"/>
  <c r="Q28" i="2"/>
  <c r="B28" i="2" s="1"/>
  <c r="Q29" i="2"/>
  <c r="B29" i="2" s="1"/>
  <c r="Q30" i="2"/>
  <c r="B30" i="2" s="1"/>
  <c r="Q31" i="2"/>
  <c r="B31" i="2" s="1"/>
  <c r="Q32" i="2"/>
  <c r="B32" i="2" s="1"/>
  <c r="Q33" i="2"/>
  <c r="B33" i="2" s="1"/>
  <c r="Q34" i="2"/>
  <c r="Q35" i="2"/>
  <c r="B35" i="2" s="1"/>
  <c r="Q36" i="2"/>
  <c r="B36" i="2" s="1"/>
  <c r="Q37" i="2"/>
  <c r="B37" i="2" s="1"/>
  <c r="Q38" i="2"/>
  <c r="B38" i="2" s="1"/>
  <c r="Q39" i="2"/>
  <c r="B39" i="2" s="1"/>
  <c r="Q40" i="2"/>
  <c r="B40" i="2" s="1"/>
  <c r="Q41" i="2"/>
  <c r="B41" i="2" s="1"/>
  <c r="Q42" i="2"/>
  <c r="B42" i="2" s="1"/>
  <c r="Q43" i="2"/>
  <c r="B43" i="2" s="1"/>
  <c r="Q44" i="2"/>
  <c r="B44" i="2" s="1"/>
  <c r="Q45" i="2"/>
  <c r="B45" i="2" s="1"/>
  <c r="Q46" i="2"/>
  <c r="B46" i="2" s="1"/>
  <c r="Q47" i="2"/>
  <c r="B47" i="2" s="1"/>
  <c r="Q48" i="2"/>
  <c r="B48" i="2" s="1"/>
  <c r="Q49" i="2"/>
  <c r="B49" i="2" s="1"/>
  <c r="Q50" i="2"/>
  <c r="Q51" i="2"/>
  <c r="B51" i="2" s="1"/>
  <c r="Q52" i="2"/>
  <c r="B52" i="2" s="1"/>
  <c r="Q53" i="2"/>
  <c r="B53" i="2" s="1"/>
  <c r="Q54" i="2"/>
  <c r="B54" i="2" s="1"/>
  <c r="Q55" i="2"/>
  <c r="B55" i="2" s="1"/>
  <c r="Q56" i="2"/>
  <c r="B56" i="2" s="1"/>
  <c r="Q57" i="2"/>
  <c r="B57" i="2" s="1"/>
  <c r="Q58" i="2"/>
  <c r="B58" i="2" s="1"/>
  <c r="Q59" i="2"/>
  <c r="B59" i="2" s="1"/>
  <c r="Q60" i="2"/>
  <c r="B60" i="2" s="1"/>
  <c r="Q2" i="2"/>
  <c r="B2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2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B25" i="2" s="1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BA293E-590A-4657-96DD-3076F0B5E3FE}" keepAlive="1" name="Query - Taylor and Francis search results (27 August 2025) (1)" description="Connection to the 'Taylor and Francis search results (27 August 2025) (1)' query in the workbook." type="5" refreshedVersion="0" background="1">
    <dbPr connection="Provider=Microsoft.Mashup.OleDb.1;Data Source=$Workbook$;Location=&quot;Taylor and Francis search results (27 August 2025) (1)&quot;;Extended Properties=&quot;&quot;" command="SELECT * FROM [Taylor and Francis search results (27 August 2025) (1)]"/>
  </connection>
</connections>
</file>

<file path=xl/sharedStrings.xml><?xml version="1.0" encoding="utf-8"?>
<sst xmlns="http://schemas.openxmlformats.org/spreadsheetml/2006/main" count="384" uniqueCount="312">
  <si>
    <t>Article title</t>
  </si>
  <si>
    <t>Authors</t>
  </si>
  <si>
    <t>Journal title</t>
  </si>
  <si>
    <t>Volume</t>
  </si>
  <si>
    <t>Issue</t>
  </si>
  <si>
    <t>Pages</t>
  </si>
  <si>
    <t>Volume year</t>
  </si>
  <si>
    <t>DOI</t>
  </si>
  <si>
    <t>Published online date</t>
  </si>
  <si>
    <t>URL</t>
  </si>
  <si>
    <t>Undesired Outcomes: China's Approach to Border Disputes during the Early Cold War</t>
  </si>
  <si>
    <t>Cold War History</t>
  </si>
  <si>
    <t>p89 - p111</t>
  </si>
  <si>
    <t>10.1080/14682745.2014.932350</t>
  </si>
  <si>
    <t>https://doi.org/10.1080/14682745.2014.932350</t>
  </si>
  <si>
    <t>Re-thinking normalisation between the ROK and the PRC in the early 1990s: the South Korean perspective</t>
  </si>
  <si>
    <t>p557 - p578</t>
  </si>
  <si>
    <t>10.1080/14682745.2015.1019869</t>
  </si>
  <si>
    <t>https://doi.org/10.1080/14682745.2015.1019869</t>
  </si>
  <si>
    <t>To 'educate' Deng Xiaoping in capitalism: Thatcher's visit to China and the future of Hong Kong in 1982</t>
  </si>
  <si>
    <t>Chi-Kwan Mark</t>
  </si>
  <si>
    <t>p161 - p180</t>
  </si>
  <si>
    <t>10.1080/14682745.2015.1094058</t>
  </si>
  <si>
    <t>https://doi.org/10.1080/14682745.2015.1094058</t>
  </si>
  <si>
    <t>A significant periphery of the Cold War: Italy-China bilateral relations, 1949-1989</t>
  </si>
  <si>
    <t>Enrico Fardella</t>
  </si>
  <si>
    <t>p181 - p197</t>
  </si>
  <si>
    <t>10.1080/14682745.2015.1093847</t>
  </si>
  <si>
    <t>https://doi.org/10.1080/14682745.2015.1093847</t>
  </si>
  <si>
    <t>Re-examining the end of Mao's revolution: China's changing statecraft and Sino-American relations, 1973-1978</t>
  </si>
  <si>
    <t>Kazushi Minami</t>
  </si>
  <si>
    <t>p359 - p375</t>
  </si>
  <si>
    <t>10.1080/14682745.2016.1218473</t>
  </si>
  <si>
    <t>https://doi.org/10.1080/14682745.2016.1218473</t>
  </si>
  <si>
    <t>The Soviet Union and China in the 1980s: reconciliation and divorce</t>
  </si>
  <si>
    <t>Vladislav Zubok</t>
  </si>
  <si>
    <t>p121 - p141</t>
  </si>
  <si>
    <t>10.1080/14682745.2017.1315923</t>
  </si>
  <si>
    <t>https://doi.org/10.1080/14682745.2017.1315923</t>
  </si>
  <si>
    <t>China and the end of the Cold War in Europe</t>
  </si>
  <si>
    <t>Odd Arne Westad</t>
  </si>
  <si>
    <t>p111 - p113</t>
  </si>
  <si>
    <t>10.1080/14682745.2017.1315956</t>
  </si>
  <si>
    <t>https://doi.org/10.1080/14682745.2017.1315956</t>
  </si>
  <si>
    <t>Soviet Public Diplomacy in China: "Small Steps" towards Bilateral Rapprochement (1978-1985)</t>
  </si>
  <si>
    <t>Alsu Tagirova</t>
  </si>
  <si>
    <t>p405 - p423</t>
  </si>
  <si>
    <t>10.1080/14682745.2017.1307180</t>
  </si>
  <si>
    <t>https://doi.org/10.1080/14682745.2017.1307180</t>
  </si>
  <si>
    <t>China and Albania: the Cultural Revolution and Cold War Relations</t>
  </si>
  <si>
    <t>Ylber Marku</t>
  </si>
  <si>
    <t>p367 - p383</t>
  </si>
  <si>
    <t>10.1080/14682745.2017.1307179</t>
  </si>
  <si>
    <t>https://doi.org/10.1080/14682745.2017.1307179</t>
  </si>
  <si>
    <t>China as a role model? The 'Economic Leap' campaign in Bulgaria (1958-1960)</t>
  </si>
  <si>
    <t>Jan Zofka</t>
  </si>
  <si>
    <t>p325 - p342</t>
  </si>
  <si>
    <t>10.1080/14682745.2017.1336158</t>
  </si>
  <si>
    <t>https://doi.org/10.1080/14682745.2017.1336158</t>
  </si>
  <si>
    <t>Promoting the 'China Way' of communism in Poland and beyond during the Sino-Soviet Split: the case of Kazimierz Mijal</t>
  </si>
  <si>
    <t>Margaret K Gnoinska</t>
  </si>
  <si>
    <t>p343 - p359</t>
  </si>
  <si>
    <t>10.1080/14682745.2017.1362394</t>
  </si>
  <si>
    <t>https://doi.org/10.1080/14682745.2017.1362394</t>
  </si>
  <si>
    <t>Sino-Czechoslovak cooperation on agricultural cooperatives: the twinning project</t>
  </si>
  <si>
    <t>Daniela Kolenovska</t>
  </si>
  <si>
    <t>p291 - p306</t>
  </si>
  <si>
    <t>10.1080/14682745.2017.1387775</t>
  </si>
  <si>
    <t>https://doi.org/10.1080/14682745.2017.1387775</t>
  </si>
  <si>
    <t>A Hungarian model for China? Sino-Hungarian relations in the era of economic reforms, 1979-89</t>
  </si>
  <si>
    <t>p361 - p378</t>
  </si>
  <si>
    <t>10.1080/14682745.2017.1402887</t>
  </si>
  <si>
    <t>https://doi.org/10.1080/14682745.2017.1402887</t>
  </si>
  <si>
    <t>Comrades-in-arms: the Chinese Communist Party's relations with African political organisations in the Mao era, 1949-76</t>
  </si>
  <si>
    <t>Joshua Eisenman</t>
  </si>
  <si>
    <t>p429 - p445</t>
  </si>
  <si>
    <t>10.1080/14682745.2018.1440549</t>
  </si>
  <si>
    <t>https://doi.org/10.1080/14682745.2018.1440549</t>
  </si>
  <si>
    <t>Kremlinology revisited: the nuances of reporting on China in the Eastern bloc press</t>
  </si>
  <si>
    <t>p307 - p324</t>
  </si>
  <si>
    <t>10.1080/14682745.2018.1458093</t>
  </si>
  <si>
    <t>https://doi.org/10.1080/14682745.2018.1458093</t>
  </si>
  <si>
    <t>Performing socialist Hungary in China: 'modern, Magyar, European'</t>
  </si>
  <si>
    <t>p257 - p274</t>
  </si>
  <si>
    <t>10.1080/14682745.2018.1425293</t>
  </si>
  <si>
    <t>https://doi.org/10.1080/14682745.2018.1425293</t>
  </si>
  <si>
    <t>Beyond the Kremlin's reach? Eastern Europe and China in the Cold War era</t>
  </si>
  <si>
    <t>p251 - p256</t>
  </si>
  <si>
    <t>10.1080/14682745.2018.1453253</t>
  </si>
  <si>
    <t>https://doi.org/10.1080/14682745.2018.1453253</t>
  </si>
  <si>
    <t>'Dog-beating stick': General Zhang Aiping's contribution to the modernisation of China's nuclear force and strategy since 1977</t>
  </si>
  <si>
    <t>Lei Liu</t>
  </si>
  <si>
    <t>p485 - p501</t>
  </si>
  <si>
    <t>10.1080/14682745.2018.1434507</t>
  </si>
  <si>
    <t>https://doi.org/10.1080/14682745.2018.1434507</t>
  </si>
  <si>
    <t>Socialist exhibits and Sino-Soviet relations, 1950-60</t>
  </si>
  <si>
    <t>Austin Jersild</t>
  </si>
  <si>
    <t>p275 - p289</t>
  </si>
  <si>
    <t>10.1080/14682745.2018.1481047</t>
  </si>
  <si>
    <t>https://doi.org/10.1080/14682745.2018.1481047</t>
  </si>
  <si>
    <t>The economic struggle for power in Tito's Yugoslavia: from World War II to non-alignment</t>
  </si>
  <si>
    <t>Mike Haynes</t>
  </si>
  <si>
    <t>p379 - p381</t>
  </si>
  <si>
    <t>10.1080/14682745.2018.1489996</t>
  </si>
  <si>
    <t>https://doi.org/10.1080/14682745.2018.1489996</t>
  </si>
  <si>
    <t>An African Volk: the apartheid regime and the search for survival</t>
  </si>
  <si>
    <t>Gary Baines</t>
  </si>
  <si>
    <t>p381 - p384</t>
  </si>
  <si>
    <t>10.1080/14682745.2018.1489997</t>
  </si>
  <si>
    <t>https://doi.org/10.1080/14682745.2018.1489997</t>
  </si>
  <si>
    <t>East German pragmatism, China's policy of differentiation, and Soviet miscalculation: Hermann Matern's 1961 trip to China revisited</t>
  </si>
  <si>
    <t>Tao Chen</t>
  </si>
  <si>
    <t>p85 - p99</t>
  </si>
  <si>
    <t>10.1080/14682745.2018.1483341</t>
  </si>
  <si>
    <t>https://doi.org/10.1080/14682745.2018.1483341</t>
  </si>
  <si>
    <t>Revisiting the Malayan Emergency: the China factor in the Baling peace talks</t>
  </si>
  <si>
    <t>p529 - p547</t>
  </si>
  <si>
    <t>10.1080/14682745.2018.1555242</t>
  </si>
  <si>
    <t>https://doi.org/10.1080/14682745.2018.1555242</t>
  </si>
  <si>
    <t>'White on the outside but red on the inside': Switzerland and Chinese intelligence networks during the Cold War</t>
  </si>
  <si>
    <t>p77 - p94</t>
  </si>
  <si>
    <t>10.1080/14682745.2019.1575368</t>
  </si>
  <si>
    <t>https://doi.org/10.1080/14682745.2019.1575368</t>
  </si>
  <si>
    <t>The political economy of Welfare State and the China-Burma relationship</t>
  </si>
  <si>
    <t>p569 - p585</t>
  </si>
  <si>
    <t>10.1080/14682745.2019.1581765</t>
  </si>
  <si>
    <t>https://doi.org/10.1080/14682745.2019.1581765</t>
  </si>
  <si>
    <t>Taming the Wild Dragon: John F. Kennedy and the Republic of China, 1961-63</t>
  </si>
  <si>
    <t>Nicholas Anthony Autiello</t>
  </si>
  <si>
    <t>p71 - p89</t>
  </si>
  <si>
    <t>10.1080/14682745.2018.1550077</t>
  </si>
  <si>
    <t>https://doi.org/10.1080/14682745.2018.1550077</t>
  </si>
  <si>
    <t>'Now the cry was Communism': the Cold War and Kenya's relations with China, 1964-70</t>
  </si>
  <si>
    <t>Jodie Yuzhou Sun</t>
  </si>
  <si>
    <t>p39 - p58</t>
  </si>
  <si>
    <t>10.1080/14682745.2019.1602120</t>
  </si>
  <si>
    <t>https://doi.org/10.1080/14682745.2019.1602120</t>
  </si>
  <si>
    <t>Between two Chinas and two Koreas: African agency and non-alignment in 1970s Botswana</t>
  </si>
  <si>
    <t>James Kirby</t>
  </si>
  <si>
    <t>p21 - p38</t>
  </si>
  <si>
    <t>10.1080/14682745.2019.1632291</t>
  </si>
  <si>
    <t>https://doi.org/10.1080/14682745.2019.1632291</t>
  </si>
  <si>
    <t>Threatened by peace: the PRC's peacefulness rhetoric and the 'China' representation question in the United Nations (1949-71)</t>
  </si>
  <si>
    <t>Elisabeth Forster</t>
  </si>
  <si>
    <t>p411 - p427</t>
  </si>
  <si>
    <t>10.1080/14682745.2019.1678028</t>
  </si>
  <si>
    <t>https://doi.org/10.1080/14682745.2019.1678028</t>
  </si>
  <si>
    <t>Stories from the international communist movement: the Chinese front in Europe and the limits of the anti-revisionist struggle</t>
  </si>
  <si>
    <t>p139 - p157</t>
  </si>
  <si>
    <t>10.1080/14682745.2020.1803840</t>
  </si>
  <si>
    <t>https://doi.org/10.1080/14682745.2020.1803840</t>
  </si>
  <si>
    <t>Europe and China in the Cold War: exchanges beyond the bloc logic and the Sino-Soviet split</t>
  </si>
  <si>
    <t>p527 - p529</t>
  </si>
  <si>
    <t>10.1080/14682745.2020.1819315</t>
  </si>
  <si>
    <t>https://doi.org/10.1080/14682745.2020.1819315</t>
  </si>
  <si>
    <t>Migration in the time of revolution: China, Indonesia and the Cold War</t>
  </si>
  <si>
    <t>Peter E Hamilton</t>
  </si>
  <si>
    <t>p235 - p242</t>
  </si>
  <si>
    <t>10.1080/14682745.2021.1898524</t>
  </si>
  <si>
    <t>https://doi.org/10.1080/14682745.2021.1898524</t>
  </si>
  <si>
    <t>The Chinese advisory groups in the first Indochina War: their formation, evolution, and disbandment</t>
  </si>
  <si>
    <t>Xiaohe Cheng</t>
  </si>
  <si>
    <t>p195 - p213</t>
  </si>
  <si>
    <t>10.1080/14682745.2021.1939309</t>
  </si>
  <si>
    <t>https://doi.org/10.1080/14682745.2021.1939309</t>
  </si>
  <si>
    <t>Supping with a long spoon in the Indian Ocean: the negotiation of the 1972 Agreement on Economic and Technical Cooperation between Mauritius and the People's Republic of China</t>
  </si>
  <si>
    <t>Thomas Burnham</t>
  </si>
  <si>
    <t>p245 - p263</t>
  </si>
  <si>
    <t>10.1080/14682745.2021.1997990</t>
  </si>
  <si>
    <t>https://doi.org/10.1080/14682745.2021.1997990</t>
  </si>
  <si>
    <t>Supplied cash and arms but losing anyway: Chinese support of the Lumumbist insurgencies in the Congo Crisis (1959-65)</t>
  </si>
  <si>
    <t>p459 - p478</t>
  </si>
  <si>
    <t>10.1080/14682745.2022.2050699</t>
  </si>
  <si>
    <t>https://doi.org/10.1080/14682745.2022.2050699</t>
  </si>
  <si>
    <t>Unknown page of history: the dispatch of Chinese workers to the USSR (1954-1957)</t>
  </si>
  <si>
    <t>Jikun Gu</t>
  </si>
  <si>
    <t>p437 - p457</t>
  </si>
  <si>
    <t>10.1080/14682745.2022.2050698</t>
  </si>
  <si>
    <t>https://doi.org/10.1080/14682745.2022.2050698</t>
  </si>
  <si>
    <t>Rethinking the security issue in the China-Burma territorial dispute</t>
  </si>
  <si>
    <t>p45 - p59</t>
  </si>
  <si>
    <t>10.1080/14682745.2022.2086860</t>
  </si>
  <si>
    <t>https://doi.org/10.1080/14682745.2022.2086860</t>
  </si>
  <si>
    <t>Diasporic Cold Warriors: Nationalist China, Anticommunism, and the Philippine Chinese, 1930s-1970s</t>
  </si>
  <si>
    <t>Brandon Kirk Williams</t>
  </si>
  <si>
    <t>p155 - p157</t>
  </si>
  <si>
    <t>10.1080/14682745.2022.2121360</t>
  </si>
  <si>
    <t>https://doi.org/10.1080/14682745.2022.2121360</t>
  </si>
  <si>
    <t>An alternative decolonisation: the Republic of China in the 1947 Asian Relations Conference</t>
  </si>
  <si>
    <t>Hao Chen</t>
  </si>
  <si>
    <t>p1 - p23</t>
  </si>
  <si>
    <t>10.1080/14682745.2023.2191949</t>
  </si>
  <si>
    <t>https://doi.org/10.1080/14682745.2023.2191949</t>
  </si>
  <si>
    <t>Word war during Patrick Hurley's 1944 mission to China</t>
  </si>
  <si>
    <t>p537 - p547</t>
  </si>
  <si>
    <t>10.1080/14682745.2023.2202350</t>
  </si>
  <si>
    <t>https://doi.org/10.1080/14682745.2023.2202350</t>
  </si>
  <si>
    <t>'To defend the peace of Asia': the Chinese Peace Committee and visions of Asian history, 1949-60</t>
  </si>
  <si>
    <t>Yasser Ali Nasser</t>
  </si>
  <si>
    <t>10.1080/14682745.2023.2207012</t>
  </si>
  <si>
    <t>https://doi.org/10.1080/14682745.2023.2207012</t>
  </si>
  <si>
    <t>After empire?: Cold War scholarship on Mao's China</t>
  </si>
  <si>
    <t>Covell F Meyskens</t>
  </si>
  <si>
    <t>p1 - p22</t>
  </si>
  <si>
    <t>10.1080/14682745.2023.2217084</t>
  </si>
  <si>
    <t>https://doi.org/10.1080/14682745.2023.2217084</t>
  </si>
  <si>
    <t>'China marching with India': India's Cold War advocacy for the People's Republic of China at the United Nations, 1949-1971</t>
  </si>
  <si>
    <t>Anatol E Klass</t>
  </si>
  <si>
    <t>p1 - p21</t>
  </si>
  <si>
    <t>10.1080/14682745.2023.2217763</t>
  </si>
  <si>
    <t>https://doi.org/10.1080/14682745.2023.2217763</t>
  </si>
  <si>
    <t>Smooth Transition? Dismantling and Accommodating Colonial Rule in Late 1940s South China</t>
  </si>
  <si>
    <t>Helena F S Lopes</t>
  </si>
  <si>
    <t>p1 - p24</t>
  </si>
  <si>
    <t>10.1080/14682745.2023.2231855</t>
  </si>
  <si>
    <t>https://doi.org/10.1080/14682745.2023.2231855</t>
  </si>
  <si>
    <t>From Imperialists to Pacifists: American Quakers and US-China Relations in the Cold War</t>
  </si>
  <si>
    <t>p1 - p20</t>
  </si>
  <si>
    <t>10.1080/14682745.2023.2239713</t>
  </si>
  <si>
    <t>https://doi.org/10.1080/14682745.2023.2239713</t>
  </si>
  <si>
    <t>The CMEA and China during the 1950s: scientific-technical cooperation in the socialist world</t>
  </si>
  <si>
    <t>p357 - p376</t>
  </si>
  <si>
    <t>10.1080/14682745.2023.2295325</t>
  </si>
  <si>
    <t>https://doi.org/10.1080/14682745.2023.2295325</t>
  </si>
  <si>
    <t>The emergence of global Maoism: China's red evangelism and the Cambodian communist movement, 1949-1979</t>
  </si>
  <si>
    <t>Caitlin Barker</t>
  </si>
  <si>
    <t>p1 - p3</t>
  </si>
  <si>
    <t>10.1080/14682745.2024.2317328</t>
  </si>
  <si>
    <t>https://doi.org/10.1080/14682745.2024.2317328</t>
  </si>
  <si>
    <t>The Limits of Partnership: China, the United States, and the Middle East Peace Process, 1977-82</t>
  </si>
  <si>
    <t>Gangzheng She</t>
  </si>
  <si>
    <t>p401 - p421</t>
  </si>
  <si>
    <t>10.1080/14682745.2024.2327296</t>
  </si>
  <si>
    <t>https://doi.org/10.1080/14682745.2024.2327296</t>
  </si>
  <si>
    <t>Complementary assistance: multilateral exchanges between the Soviet Union, China and Eastern European countries in Cold War Mongolia</t>
  </si>
  <si>
    <t>Nikolay Erofeev</t>
  </si>
  <si>
    <t>p453 - p473</t>
  </si>
  <si>
    <t>10.1080/14682745.2024.2328702</t>
  </si>
  <si>
    <t>https://doi.org/10.1080/14682745.2024.2328702</t>
  </si>
  <si>
    <t>China, Yugoslavia, and socialist worldmaking: convergences and divergences</t>
  </si>
  <si>
    <t>Paul Stubbs</t>
  </si>
  <si>
    <t>p467 - p469</t>
  </si>
  <si>
    <t>10.1080/14682745.2024.2373970</t>
  </si>
  <si>
    <t>https://doi.org/10.1080/14682745.2024.2373970</t>
  </si>
  <si>
    <t>Folklore and Global Cross-cultural Communication in the Communist World: Poland and China in the 1950s</t>
  </si>
  <si>
    <t>Igor Iwo Chabrowski</t>
  </si>
  <si>
    <t>p105 - p123</t>
  </si>
  <si>
    <t>10.1080/14682745.2024.2352529</t>
  </si>
  <si>
    <t>https://doi.org/10.1080/14682745.2024.2352529</t>
  </si>
  <si>
    <t>China's Abandonment of Self-Reliance and Sino-American Opening before 1979</t>
  </si>
  <si>
    <t>Pete Millwood</t>
  </si>
  <si>
    <t>10.1080/14682745.2024.2355191</t>
  </si>
  <si>
    <t>https://doi.org/10.1080/14682745.2024.2355191</t>
  </si>
  <si>
    <t>'Unwilling to awaken': The special status of the Poland-China route and Polish-Sino shipping cooperation in the early 1950s</t>
  </si>
  <si>
    <t>Meng Yang</t>
  </si>
  <si>
    <t>10.1080/14682745.2024.2404827</t>
  </si>
  <si>
    <t>https://doi.org/10.1080/14682745.2024.2404827</t>
  </si>
  <si>
    <t>No Vietnam in Korea: China's Cold War strategy and Sino-DPRK relations, 1978-1991</t>
  </si>
  <si>
    <t>p23 - p42</t>
  </si>
  <si>
    <t>10.1080/14682745.2024.2384359</t>
  </si>
  <si>
    <t>https://doi.org/10.1080/14682745.2024.2384359</t>
  </si>
  <si>
    <t>Japan's Mediating Role in Sino-US Relations: The Negotiation of China's Membership in the Asian Development Bank</t>
  </si>
  <si>
    <t>Hang Xu</t>
  </si>
  <si>
    <t>10.1080/14682745.2024.2341224</t>
  </si>
  <si>
    <t>https://doi.org/10.1080/14682745.2024.2341224</t>
  </si>
  <si>
    <t>Foreign policy proposals in Mao's China during the 1960s: a comparative study between those of Wang Jiaxiang and the Four Marshals</t>
  </si>
  <si>
    <t>Joseph Lee</t>
  </si>
  <si>
    <t>10.1080/14682745.2025.2485888</t>
  </si>
  <si>
    <t>https://doi.org/10.1080/14682745.2025.2485888</t>
  </si>
  <si>
    <t>Cold War, Hong Kong and the Self-exiled Chinese Intellectuals in the 1950s and 1960s: a Study of the Exiles' Cultural and Political Endeavours in the British Colony</t>
  </si>
  <si>
    <t>Kenneth Kai-Chung Yung</t>
  </si>
  <si>
    <t>p1 - p15</t>
  </si>
  <si>
    <t>10.1080/14682745.2025.2485886</t>
  </si>
  <si>
    <t>https://doi.org/10.1080/14682745.2025.2485886</t>
  </si>
  <si>
    <t>Introduction: Cold War China, Decolonisation, and the Making of International Order in Asia</t>
  </si>
  <si>
    <t>p1 - p8</t>
  </si>
  <si>
    <t>10.1080/14682745.2025.2516721</t>
  </si>
  <si>
    <t>https://doi.org/10.1080/14682745.2025.2516721</t>
  </si>
  <si>
    <t>Performing internationalism: Tanzanian women's delegations to China, 1961-1965</t>
  </si>
  <si>
    <t>Jamie Monson</t>
  </si>
  <si>
    <t>10.1080/14682745.2025.2487110</t>
  </si>
  <si>
    <t>https://doi.org/10.1080/14682745.2025.2487110</t>
  </si>
  <si>
    <t>Péter Vámos</t>
  </si>
  <si>
    <t>József Böröcz</t>
  </si>
  <si>
    <t>Ariane Knüsel</t>
  </si>
  <si>
    <t>Julia Lovell</t>
  </si>
  <si>
    <t xml:space="preserve"> Zhihua Shen</t>
  </si>
  <si>
    <t>Lyong Choi</t>
  </si>
  <si>
    <t xml:space="preserve"> Jae-Ho Hwang</t>
  </si>
  <si>
    <t>Max Trecker</t>
  </si>
  <si>
    <t xml:space="preserve"> Sören Urbansky</t>
  </si>
  <si>
    <t>Sören Urbansky</t>
  </si>
  <si>
    <t xml:space="preserve"> Péter Vámos</t>
  </si>
  <si>
    <t xml:space="preserve"> Jan Zofka</t>
  </si>
  <si>
    <t>Kee Cheok Cheong</t>
  </si>
  <si>
    <t xml:space="preserve"> Yanqing He</t>
  </si>
  <si>
    <t xml:space="preserve"> Ran Li</t>
  </si>
  <si>
    <t>Hongwei Fan</t>
  </si>
  <si>
    <t xml:space="preserve"> Yizheng Zou</t>
  </si>
  <si>
    <t>Rao Fujiangchuan</t>
  </si>
  <si>
    <t xml:space="preserve"> Yifan Shi</t>
  </si>
  <si>
    <t>Bingyi Gong</t>
  </si>
  <si>
    <t xml:space="preserve"> Kazushi Minami</t>
  </si>
  <si>
    <t>Huajie Jiang</t>
  </si>
  <si>
    <t xml:space="preserve"> Pete Millwood</t>
  </si>
  <si>
    <t>Author1 Firstname</t>
  </si>
  <si>
    <t>Author2 Firstname</t>
  </si>
  <si>
    <t>Author3 Firstname</t>
  </si>
  <si>
    <t>Author1Lastname</t>
  </si>
  <si>
    <t>Author2Lastname</t>
  </si>
  <si>
    <t>Author3Lastname</t>
  </si>
  <si>
    <t>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</si>
</sst>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4" borderId="11" xfId="0" applyFont="1" applyFill="1" applyBorder="1"/>
    <xf numFmtId="0" fontId="13" fillId="33" borderId="12" xfId="0" applyFont="1" applyFill="1" applyBorder="1"/>
    <xf numFmtId="0" fontId="13" fillId="33" borderId="13" xfId="0" applyFont="1" applyFill="1" applyBorder="1"/>
    <xf numFmtId="0" fontId="0" fillId="34" borderId="12" xfId="0" applyNumberFormat="1" applyFont="1" applyFill="1" applyBorder="1"/>
    <xf numFmtId="0" fontId="0" fillId="34" borderId="13" xfId="0" applyNumberFormat="1" applyFont="1" applyFill="1" applyBorder="1"/>
    <xf numFmtId="0" fontId="0" fillId="34" borderId="13" xfId="0" applyFont="1" applyFill="1" applyBorder="1"/>
    <xf numFmtId="14" fontId="0" fillId="34" borderId="13" xfId="0" applyNumberFormat="1" applyFont="1" applyFill="1" applyBorder="1"/>
    <xf numFmtId="0" fontId="0" fillId="0" borderId="12" xfId="0" applyNumberFormat="1" applyFont="1" applyBorder="1"/>
    <xf numFmtId="0" fontId="0" fillId="0" borderId="13" xfId="0" applyNumberFormat="1" applyFont="1" applyBorder="1"/>
    <xf numFmtId="0" fontId="0" fillId="0" borderId="13" xfId="0" applyFont="1" applyBorder="1"/>
    <xf numFmtId="14" fontId="0" fillId="0" borderId="13" xfId="0" applyNumberFormat="1" applyFont="1" applyBorder="1"/>
    <xf numFmtId="0" fontId="0" fillId="34" borderId="10" xfId="0" applyNumberFormat="1" applyFont="1" applyFill="1" applyBorder="1"/>
    <xf numFmtId="0" fontId="0" fillId="34" borderId="11" xfId="0" applyNumberFormat="1" applyFont="1" applyFill="1" applyBorder="1"/>
    <xf numFmtId="14" fontId="0" fillId="34" borderId="11" xfId="0" applyNumberFormat="1" applyFont="1" applyFill="1" applyBorder="1"/>
    <xf numFmtId="0" fontId="13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4A0F-1C55-41AA-8F2D-4C35DF4EB9CB}">
  <dimension ref="A1:AG62"/>
  <sheetViews>
    <sheetView tabSelected="1" zoomScale="72" workbookViewId="0">
      <selection activeCell="A11" sqref="A11"/>
    </sheetView>
  </sheetViews>
  <sheetFormatPr defaultRowHeight="14.4" x14ac:dyDescent="0.3"/>
  <cols>
    <col min="1" max="1" width="177.88671875" bestFit="1" customWidth="1"/>
    <col min="2" max="2" width="80.88671875" customWidth="1"/>
    <col min="3" max="3" width="14.44140625" bestFit="1" customWidth="1"/>
    <col min="4" max="4" width="9.5546875" bestFit="1" customWidth="1"/>
    <col min="5" max="5" width="7.5546875" bestFit="1" customWidth="1"/>
    <col min="6" max="6" width="10.33203125" bestFit="1" customWidth="1"/>
    <col min="7" max="7" width="13.44140625" bestFit="1" customWidth="1"/>
    <col min="8" max="8" width="28.77734375" bestFit="1" customWidth="1"/>
    <col min="9" max="9" width="21.33203125" bestFit="1" customWidth="1"/>
    <col min="10" max="10" width="41.21875" bestFit="1" customWidth="1"/>
    <col min="13" max="14" width="20.5546875" bestFit="1" customWidth="1"/>
    <col min="15" max="15" width="16.33203125" bestFit="1" customWidth="1"/>
    <col min="17" max="19" width="15.6640625" bestFit="1" customWidth="1"/>
    <col min="31" max="31" width="21.77734375" bestFit="1" customWidth="1"/>
    <col min="32" max="32" width="14" bestFit="1" customWidth="1"/>
  </cols>
  <sheetData>
    <row r="1" spans="1:32" x14ac:dyDescent="0.3">
      <c r="A1" s="2" t="s">
        <v>0</v>
      </c>
      <c r="B1" s="3" t="s">
        <v>311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15" t="s">
        <v>305</v>
      </c>
      <c r="N1" s="15" t="s">
        <v>306</v>
      </c>
      <c r="O1" s="15" t="s">
        <v>307</v>
      </c>
      <c r="Q1" s="15" t="s">
        <v>308</v>
      </c>
      <c r="R1" s="15" t="s">
        <v>309</v>
      </c>
      <c r="S1" s="15" t="s">
        <v>310</v>
      </c>
      <c r="AE1" t="s">
        <v>1</v>
      </c>
    </row>
    <row r="2" spans="1:32" x14ac:dyDescent="0.3">
      <c r="A2" s="4" t="s">
        <v>10</v>
      </c>
      <c r="B2" s="5" t="str">
        <f>_xlfn.TEXTJOIN(", ", TRUE, Q2,M2,R2,N2,S2,O2)</f>
        <v xml:space="preserve">Lovell, Julia , Shen,  Zhihua </v>
      </c>
      <c r="C2" s="5" t="s">
        <v>11</v>
      </c>
      <c r="D2" s="6">
        <v>15</v>
      </c>
      <c r="E2" s="6">
        <v>1</v>
      </c>
      <c r="F2" s="5" t="s">
        <v>12</v>
      </c>
      <c r="G2" s="6">
        <v>2015</v>
      </c>
      <c r="H2" s="5" t="s">
        <v>13</v>
      </c>
      <c r="I2" s="7">
        <v>42016</v>
      </c>
      <c r="J2" s="5" t="s">
        <v>14</v>
      </c>
      <c r="M2" t="str">
        <f>LEFT(AE2, LEN(AE2) - LEN(TRIM(RIGHT(SUBSTITUTE(AE2, " ", REPT(" ",100)),100))))</f>
        <v xml:space="preserve">Julia </v>
      </c>
      <c r="N2" t="str">
        <f t="shared" ref="N2:O17" si="0">LEFT(AF2, LEN(AF2) - LEN(TRIM(RIGHT(SUBSTITUTE(AF2, " ", REPT(" ",100)),100))))</f>
        <v xml:space="preserve"> Zhihua </v>
      </c>
      <c r="O2" t="str">
        <f t="shared" si="0"/>
        <v/>
      </c>
      <c r="Q2" t="str">
        <f>TRIM(RIGHT(SUBSTITUTE(AE2," ",REPT(" ",100)),100))</f>
        <v>Lovell</v>
      </c>
      <c r="R2" t="str">
        <f t="shared" ref="R2:S17" si="1">TRIM(RIGHT(SUBSTITUTE(AF2," ",REPT(" ",100)),100))</f>
        <v>Shen</v>
      </c>
      <c r="S2" t="str">
        <f t="shared" si="1"/>
        <v/>
      </c>
      <c r="AE2" t="s">
        <v>285</v>
      </c>
      <c r="AF2" t="s">
        <v>286</v>
      </c>
    </row>
    <row r="3" spans="1:32" x14ac:dyDescent="0.3">
      <c r="A3" s="8" t="s">
        <v>15</v>
      </c>
      <c r="B3" s="5" t="str">
        <f t="shared" ref="B3:B60" si="2">_xlfn.TEXTJOIN(", ", TRUE, Q3,M3,R3,N3,S3,O3)</f>
        <v xml:space="preserve">Choi, Lyong , Hwang,  Jae-Ho </v>
      </c>
      <c r="C3" s="9" t="s">
        <v>11</v>
      </c>
      <c r="D3" s="10">
        <v>15</v>
      </c>
      <c r="E3" s="10">
        <v>4</v>
      </c>
      <c r="F3" s="9" t="s">
        <v>16</v>
      </c>
      <c r="G3" s="10">
        <v>2015</v>
      </c>
      <c r="H3" s="9" t="s">
        <v>17</v>
      </c>
      <c r="I3" s="11">
        <v>42087</v>
      </c>
      <c r="J3" s="9" t="s">
        <v>18</v>
      </c>
      <c r="M3" t="str">
        <f t="shared" ref="M3:O60" si="3">LEFT(AE3, LEN(AE3) - LEN(TRIM(RIGHT(SUBSTITUTE(AE3, " ", REPT(" ",100)),100))))</f>
        <v xml:space="preserve">Lyong </v>
      </c>
      <c r="N3" t="str">
        <f t="shared" si="0"/>
        <v xml:space="preserve"> Jae-Ho </v>
      </c>
      <c r="O3" t="str">
        <f t="shared" si="0"/>
        <v/>
      </c>
      <c r="Q3" t="str">
        <f t="shared" ref="Q3:S60" si="4">TRIM(RIGHT(SUBSTITUTE(AE3," ",REPT(" ",100)),100))</f>
        <v>Choi</v>
      </c>
      <c r="R3" t="str">
        <f t="shared" si="1"/>
        <v>Hwang</v>
      </c>
      <c r="S3" t="str">
        <f t="shared" si="1"/>
        <v/>
      </c>
      <c r="AE3" t="s">
        <v>287</v>
      </c>
      <c r="AF3" t="s">
        <v>288</v>
      </c>
    </row>
    <row r="4" spans="1:32" x14ac:dyDescent="0.3">
      <c r="A4" s="4" t="s">
        <v>19</v>
      </c>
      <c r="B4" s="5" t="str">
        <f t="shared" si="2"/>
        <v xml:space="preserve">Mark, Chi-Kwan </v>
      </c>
      <c r="C4" s="5" t="s">
        <v>11</v>
      </c>
      <c r="D4" s="6">
        <v>17</v>
      </c>
      <c r="E4" s="6">
        <v>2</v>
      </c>
      <c r="F4" s="5" t="s">
        <v>21</v>
      </c>
      <c r="G4" s="6">
        <v>2017</v>
      </c>
      <c r="H4" s="5" t="s">
        <v>22</v>
      </c>
      <c r="I4" s="7">
        <v>42365</v>
      </c>
      <c r="J4" s="5" t="s">
        <v>23</v>
      </c>
      <c r="M4" t="str">
        <f t="shared" si="3"/>
        <v xml:space="preserve">Chi-Kwan </v>
      </c>
      <c r="N4" t="str">
        <f t="shared" si="0"/>
        <v/>
      </c>
      <c r="O4" t="str">
        <f t="shared" si="0"/>
        <v/>
      </c>
      <c r="Q4" t="str">
        <f t="shared" si="4"/>
        <v>Mark</v>
      </c>
      <c r="R4" t="str">
        <f t="shared" si="1"/>
        <v/>
      </c>
      <c r="S4" t="str">
        <f t="shared" si="1"/>
        <v/>
      </c>
      <c r="AE4" t="s">
        <v>20</v>
      </c>
    </row>
    <row r="5" spans="1:32" x14ac:dyDescent="0.3">
      <c r="A5" s="8" t="s">
        <v>24</v>
      </c>
      <c r="B5" s="5" t="str">
        <f t="shared" si="2"/>
        <v xml:space="preserve">Fardella, Enrico </v>
      </c>
      <c r="C5" s="9" t="s">
        <v>11</v>
      </c>
      <c r="D5" s="10">
        <v>17</v>
      </c>
      <c r="E5" s="10">
        <v>2</v>
      </c>
      <c r="F5" s="9" t="s">
        <v>26</v>
      </c>
      <c r="G5" s="10">
        <v>2017</v>
      </c>
      <c r="H5" s="9" t="s">
        <v>27</v>
      </c>
      <c r="I5" s="11">
        <v>42405</v>
      </c>
      <c r="J5" s="9" t="s">
        <v>28</v>
      </c>
      <c r="M5" t="str">
        <f t="shared" si="3"/>
        <v xml:space="preserve">Enrico </v>
      </c>
      <c r="N5" t="str">
        <f t="shared" si="0"/>
        <v/>
      </c>
      <c r="O5" t="str">
        <f t="shared" si="0"/>
        <v/>
      </c>
      <c r="Q5" t="str">
        <f t="shared" si="4"/>
        <v>Fardella</v>
      </c>
      <c r="R5" t="str">
        <f t="shared" si="1"/>
        <v/>
      </c>
      <c r="S5" t="str">
        <f t="shared" si="1"/>
        <v/>
      </c>
      <c r="AE5" t="s">
        <v>25</v>
      </c>
    </row>
    <row r="6" spans="1:32" x14ac:dyDescent="0.3">
      <c r="A6" s="4" t="s">
        <v>29</v>
      </c>
      <c r="B6" s="5" t="str">
        <f t="shared" si="2"/>
        <v xml:space="preserve">Minami, Kazushi </v>
      </c>
      <c r="C6" s="5" t="s">
        <v>11</v>
      </c>
      <c r="D6" s="6">
        <v>16</v>
      </c>
      <c r="E6" s="6">
        <v>4</v>
      </c>
      <c r="F6" s="5" t="s">
        <v>31</v>
      </c>
      <c r="G6" s="6">
        <v>2016</v>
      </c>
      <c r="H6" s="5" t="s">
        <v>32</v>
      </c>
      <c r="I6" s="7">
        <v>42640</v>
      </c>
      <c r="J6" s="5" t="s">
        <v>33</v>
      </c>
      <c r="M6" t="str">
        <f t="shared" si="3"/>
        <v xml:space="preserve">Kazushi </v>
      </c>
      <c r="N6" t="str">
        <f t="shared" si="0"/>
        <v/>
      </c>
      <c r="O6" t="str">
        <f t="shared" si="0"/>
        <v/>
      </c>
      <c r="Q6" t="str">
        <f t="shared" si="4"/>
        <v>Minami</v>
      </c>
      <c r="R6" t="str">
        <f t="shared" si="1"/>
        <v/>
      </c>
      <c r="S6" t="str">
        <f t="shared" si="1"/>
        <v/>
      </c>
      <c r="AE6" t="s">
        <v>30</v>
      </c>
    </row>
    <row r="7" spans="1:32" x14ac:dyDescent="0.3">
      <c r="A7" s="8" t="s">
        <v>34</v>
      </c>
      <c r="B7" s="5" t="str">
        <f t="shared" si="2"/>
        <v xml:space="preserve">Zubok, Vladislav </v>
      </c>
      <c r="C7" s="9" t="s">
        <v>11</v>
      </c>
      <c r="D7" s="10">
        <v>17</v>
      </c>
      <c r="E7" s="10">
        <v>2</v>
      </c>
      <c r="F7" s="9" t="s">
        <v>36</v>
      </c>
      <c r="G7" s="10">
        <v>2017</v>
      </c>
      <c r="H7" s="9" t="s">
        <v>37</v>
      </c>
      <c r="I7" s="11">
        <v>42863</v>
      </c>
      <c r="J7" s="9" t="s">
        <v>38</v>
      </c>
      <c r="M7" t="str">
        <f t="shared" si="3"/>
        <v xml:space="preserve">Vladislav </v>
      </c>
      <c r="N7" t="str">
        <f t="shared" si="0"/>
        <v/>
      </c>
      <c r="O7" t="str">
        <f t="shared" si="0"/>
        <v/>
      </c>
      <c r="Q7" t="str">
        <f t="shared" si="4"/>
        <v>Zubok</v>
      </c>
      <c r="R7" t="str">
        <f t="shared" si="1"/>
        <v/>
      </c>
      <c r="S7" t="str">
        <f t="shared" si="1"/>
        <v/>
      </c>
      <c r="AE7" t="s">
        <v>35</v>
      </c>
    </row>
    <row r="8" spans="1:32" x14ac:dyDescent="0.3">
      <c r="A8" s="4" t="s">
        <v>39</v>
      </c>
      <c r="B8" s="5" t="str">
        <f t="shared" si="2"/>
        <v xml:space="preserve">Westad, Odd Arne </v>
      </c>
      <c r="C8" s="5" t="s">
        <v>11</v>
      </c>
      <c r="D8" s="6">
        <v>17</v>
      </c>
      <c r="E8" s="6">
        <v>2</v>
      </c>
      <c r="F8" s="5" t="s">
        <v>41</v>
      </c>
      <c r="G8" s="6">
        <v>2017</v>
      </c>
      <c r="H8" s="5" t="s">
        <v>42</v>
      </c>
      <c r="I8" s="7">
        <v>42905</v>
      </c>
      <c r="J8" s="5" t="s">
        <v>43</v>
      </c>
      <c r="M8" t="str">
        <f t="shared" si="3"/>
        <v xml:space="preserve">Odd Arne </v>
      </c>
      <c r="N8" t="str">
        <f t="shared" si="0"/>
        <v/>
      </c>
      <c r="O8" t="str">
        <f t="shared" si="0"/>
        <v/>
      </c>
      <c r="Q8" t="str">
        <f t="shared" si="4"/>
        <v>Westad</v>
      </c>
      <c r="R8" t="str">
        <f t="shared" si="1"/>
        <v/>
      </c>
      <c r="S8" t="str">
        <f t="shared" si="1"/>
        <v/>
      </c>
      <c r="AE8" t="s">
        <v>40</v>
      </c>
    </row>
    <row r="9" spans="1:32" x14ac:dyDescent="0.3">
      <c r="A9" s="8" t="s">
        <v>44</v>
      </c>
      <c r="B9" s="5" t="str">
        <f t="shared" si="2"/>
        <v xml:space="preserve">Tagirova, Alsu </v>
      </c>
      <c r="C9" s="9" t="s">
        <v>11</v>
      </c>
      <c r="D9" s="10">
        <v>17</v>
      </c>
      <c r="E9" s="10">
        <v>4</v>
      </c>
      <c r="F9" s="9" t="s">
        <v>46</v>
      </c>
      <c r="G9" s="10">
        <v>2017</v>
      </c>
      <c r="H9" s="9" t="s">
        <v>47</v>
      </c>
      <c r="I9" s="11">
        <v>42849</v>
      </c>
      <c r="J9" s="9" t="s">
        <v>48</v>
      </c>
      <c r="M9" t="str">
        <f t="shared" si="3"/>
        <v xml:space="preserve">Alsu </v>
      </c>
      <c r="N9" t="str">
        <f t="shared" si="0"/>
        <v/>
      </c>
      <c r="O9" t="str">
        <f t="shared" si="0"/>
        <v/>
      </c>
      <c r="Q9" t="str">
        <f t="shared" si="4"/>
        <v>Tagirova</v>
      </c>
      <c r="R9" t="str">
        <f t="shared" si="1"/>
        <v/>
      </c>
      <c r="S9" t="str">
        <f t="shared" si="1"/>
        <v/>
      </c>
      <c r="AE9" t="s">
        <v>45</v>
      </c>
    </row>
    <row r="10" spans="1:32" x14ac:dyDescent="0.3">
      <c r="A10" s="4" t="s">
        <v>49</v>
      </c>
      <c r="B10" s="5" t="str">
        <f t="shared" si="2"/>
        <v xml:space="preserve">Marku, Ylber </v>
      </c>
      <c r="C10" s="5" t="s">
        <v>11</v>
      </c>
      <c r="D10" s="6">
        <v>17</v>
      </c>
      <c r="E10" s="6">
        <v>4</v>
      </c>
      <c r="F10" s="5" t="s">
        <v>51</v>
      </c>
      <c r="G10" s="6">
        <v>2017</v>
      </c>
      <c r="H10" s="5" t="s">
        <v>52</v>
      </c>
      <c r="I10" s="7">
        <v>42850</v>
      </c>
      <c r="J10" s="5" t="s">
        <v>53</v>
      </c>
      <c r="M10" t="str">
        <f t="shared" si="3"/>
        <v xml:space="preserve">Ylber </v>
      </c>
      <c r="N10" t="str">
        <f t="shared" si="0"/>
        <v/>
      </c>
      <c r="O10" t="str">
        <f t="shared" si="0"/>
        <v/>
      </c>
      <c r="Q10" t="str">
        <f t="shared" si="4"/>
        <v>Marku</v>
      </c>
      <c r="R10" t="str">
        <f t="shared" si="1"/>
        <v/>
      </c>
      <c r="S10" t="str">
        <f t="shared" si="1"/>
        <v/>
      </c>
      <c r="AE10" t="s">
        <v>50</v>
      </c>
    </row>
    <row r="11" spans="1:32" x14ac:dyDescent="0.3">
      <c r="A11" s="8" t="s">
        <v>54</v>
      </c>
      <c r="B11" s="5" t="str">
        <f t="shared" si="2"/>
        <v xml:space="preserve">Zofka, Jan </v>
      </c>
      <c r="C11" s="9" t="s">
        <v>11</v>
      </c>
      <c r="D11" s="10">
        <v>18</v>
      </c>
      <c r="E11" s="10">
        <v>3</v>
      </c>
      <c r="F11" s="9" t="s">
        <v>56</v>
      </c>
      <c r="G11" s="10">
        <v>2018</v>
      </c>
      <c r="H11" s="9" t="s">
        <v>57</v>
      </c>
      <c r="I11" s="11">
        <v>42941</v>
      </c>
      <c r="J11" s="9" t="s">
        <v>58</v>
      </c>
      <c r="M11" t="str">
        <f t="shared" si="3"/>
        <v xml:space="preserve">Jan </v>
      </c>
      <c r="N11" t="str">
        <f t="shared" si="0"/>
        <v/>
      </c>
      <c r="O11" t="str">
        <f t="shared" si="0"/>
        <v/>
      </c>
      <c r="Q11" t="str">
        <f t="shared" si="4"/>
        <v>Zofka</v>
      </c>
      <c r="R11" t="str">
        <f t="shared" si="1"/>
        <v/>
      </c>
      <c r="S11" t="str">
        <f t="shared" si="1"/>
        <v/>
      </c>
      <c r="AE11" t="s">
        <v>55</v>
      </c>
    </row>
    <row r="12" spans="1:32" x14ac:dyDescent="0.3">
      <c r="A12" s="4" t="s">
        <v>59</v>
      </c>
      <c r="B12" s="5" t="str">
        <f t="shared" si="2"/>
        <v xml:space="preserve">Gnoinska, Margaret K </v>
      </c>
      <c r="C12" s="5" t="s">
        <v>11</v>
      </c>
      <c r="D12" s="6">
        <v>18</v>
      </c>
      <c r="E12" s="6">
        <v>3</v>
      </c>
      <c r="F12" s="5" t="s">
        <v>61</v>
      </c>
      <c r="G12" s="6">
        <v>2018</v>
      </c>
      <c r="H12" s="5" t="s">
        <v>62</v>
      </c>
      <c r="I12" s="7">
        <v>42996</v>
      </c>
      <c r="J12" s="5" t="s">
        <v>63</v>
      </c>
      <c r="M12" t="str">
        <f t="shared" si="3"/>
        <v xml:space="preserve">Margaret K </v>
      </c>
      <c r="N12" t="str">
        <f t="shared" si="0"/>
        <v/>
      </c>
      <c r="O12" t="str">
        <f t="shared" si="0"/>
        <v/>
      </c>
      <c r="Q12" t="str">
        <f t="shared" si="4"/>
        <v>Gnoinska</v>
      </c>
      <c r="R12" t="str">
        <f t="shared" si="1"/>
        <v/>
      </c>
      <c r="S12" t="str">
        <f t="shared" si="1"/>
        <v/>
      </c>
      <c r="AE12" t="s">
        <v>60</v>
      </c>
    </row>
    <row r="13" spans="1:32" x14ac:dyDescent="0.3">
      <c r="A13" s="8" t="s">
        <v>64</v>
      </c>
      <c r="B13" s="5" t="str">
        <f t="shared" si="2"/>
        <v xml:space="preserve">Kolenovska, Daniela </v>
      </c>
      <c r="C13" s="9" t="s">
        <v>11</v>
      </c>
      <c r="D13" s="10">
        <v>18</v>
      </c>
      <c r="E13" s="10">
        <v>3</v>
      </c>
      <c r="F13" s="9" t="s">
        <v>66</v>
      </c>
      <c r="G13" s="10">
        <v>2018</v>
      </c>
      <c r="H13" s="9" t="s">
        <v>67</v>
      </c>
      <c r="I13" s="11">
        <v>43059</v>
      </c>
      <c r="J13" s="9" t="s">
        <v>68</v>
      </c>
      <c r="M13" t="str">
        <f t="shared" si="3"/>
        <v xml:space="preserve">Daniela </v>
      </c>
      <c r="N13" t="str">
        <f t="shared" si="0"/>
        <v/>
      </c>
      <c r="O13" t="str">
        <f t="shared" si="0"/>
        <v/>
      </c>
      <c r="Q13" t="str">
        <f t="shared" si="4"/>
        <v>Kolenovska</v>
      </c>
      <c r="R13" t="str">
        <f t="shared" si="1"/>
        <v/>
      </c>
      <c r="S13" t="str">
        <f t="shared" si="1"/>
        <v/>
      </c>
      <c r="AE13" t="s">
        <v>65</v>
      </c>
    </row>
    <row r="14" spans="1:32" x14ac:dyDescent="0.3">
      <c r="A14" s="4" t="s">
        <v>69</v>
      </c>
      <c r="B14" s="5" t="str">
        <f t="shared" si="2"/>
        <v xml:space="preserve">Vámos, Péter </v>
      </c>
      <c r="C14" s="5" t="s">
        <v>11</v>
      </c>
      <c r="D14" s="6">
        <v>18</v>
      </c>
      <c r="E14" s="6">
        <v>3</v>
      </c>
      <c r="F14" s="5" t="s">
        <v>70</v>
      </c>
      <c r="G14" s="6">
        <v>2018</v>
      </c>
      <c r="H14" s="5" t="s">
        <v>71</v>
      </c>
      <c r="I14" s="7">
        <v>43079</v>
      </c>
      <c r="J14" s="5" t="s">
        <v>72</v>
      </c>
      <c r="M14" t="str">
        <f t="shared" si="3"/>
        <v xml:space="preserve">Péter </v>
      </c>
      <c r="N14" t="str">
        <f t="shared" si="0"/>
        <v/>
      </c>
      <c r="O14" t="str">
        <f t="shared" si="0"/>
        <v/>
      </c>
      <c r="Q14" t="str">
        <f t="shared" si="4"/>
        <v>Vámos</v>
      </c>
      <c r="R14" t="str">
        <f t="shared" si="1"/>
        <v/>
      </c>
      <c r="S14" t="str">
        <f t="shared" si="1"/>
        <v/>
      </c>
      <c r="AE14" t="s">
        <v>282</v>
      </c>
    </row>
    <row r="15" spans="1:32" x14ac:dyDescent="0.3">
      <c r="A15" s="8" t="s">
        <v>73</v>
      </c>
      <c r="B15" s="5" t="str">
        <f t="shared" si="2"/>
        <v xml:space="preserve">Eisenman, Joshua </v>
      </c>
      <c r="C15" s="9" t="s">
        <v>11</v>
      </c>
      <c r="D15" s="10">
        <v>18</v>
      </c>
      <c r="E15" s="10">
        <v>4</v>
      </c>
      <c r="F15" s="9" t="s">
        <v>75</v>
      </c>
      <c r="G15" s="10">
        <v>2018</v>
      </c>
      <c r="H15" s="9" t="s">
        <v>76</v>
      </c>
      <c r="I15" s="11">
        <v>43179</v>
      </c>
      <c r="J15" s="9" t="s">
        <v>77</v>
      </c>
      <c r="M15" t="str">
        <f t="shared" si="3"/>
        <v xml:space="preserve">Joshua </v>
      </c>
      <c r="N15" t="str">
        <f t="shared" si="0"/>
        <v/>
      </c>
      <c r="O15" t="str">
        <f t="shared" si="0"/>
        <v/>
      </c>
      <c r="Q15" t="str">
        <f t="shared" si="4"/>
        <v>Eisenman</v>
      </c>
      <c r="R15" t="str">
        <f t="shared" si="1"/>
        <v/>
      </c>
      <c r="S15" t="str">
        <f t="shared" si="1"/>
        <v/>
      </c>
      <c r="AE15" t="s">
        <v>74</v>
      </c>
    </row>
    <row r="16" spans="1:32" x14ac:dyDescent="0.3">
      <c r="A16" s="4" t="s">
        <v>78</v>
      </c>
      <c r="B16" s="5" t="str">
        <f t="shared" si="2"/>
        <v xml:space="preserve">Trecker, Max , Urbansky,  Sören </v>
      </c>
      <c r="C16" s="5" t="s">
        <v>11</v>
      </c>
      <c r="D16" s="6">
        <v>18</v>
      </c>
      <c r="E16" s="6">
        <v>3</v>
      </c>
      <c r="F16" s="5" t="s">
        <v>79</v>
      </c>
      <c r="G16" s="6">
        <v>2018</v>
      </c>
      <c r="H16" s="5" t="s">
        <v>80</v>
      </c>
      <c r="I16" s="7">
        <v>43212</v>
      </c>
      <c r="J16" s="5" t="s">
        <v>81</v>
      </c>
      <c r="M16" t="str">
        <f t="shared" si="3"/>
        <v xml:space="preserve">Max </v>
      </c>
      <c r="N16" t="str">
        <f t="shared" si="0"/>
        <v xml:space="preserve"> Sören </v>
      </c>
      <c r="O16" t="str">
        <f t="shared" si="0"/>
        <v/>
      </c>
      <c r="Q16" t="str">
        <f t="shared" si="4"/>
        <v>Trecker</v>
      </c>
      <c r="R16" t="str">
        <f t="shared" si="1"/>
        <v>Urbansky</v>
      </c>
      <c r="S16" t="str">
        <f t="shared" si="1"/>
        <v/>
      </c>
      <c r="AE16" t="s">
        <v>289</v>
      </c>
      <c r="AF16" t="s">
        <v>290</v>
      </c>
    </row>
    <row r="17" spans="1:33" x14ac:dyDescent="0.3">
      <c r="A17" s="8" t="s">
        <v>82</v>
      </c>
      <c r="B17" s="5" t="str">
        <f t="shared" si="2"/>
        <v xml:space="preserve">Böröcz, József </v>
      </c>
      <c r="C17" s="9" t="s">
        <v>11</v>
      </c>
      <c r="D17" s="10">
        <v>18</v>
      </c>
      <c r="E17" s="10">
        <v>3</v>
      </c>
      <c r="F17" s="9" t="s">
        <v>83</v>
      </c>
      <c r="G17" s="10">
        <v>2018</v>
      </c>
      <c r="H17" s="9" t="s">
        <v>84</v>
      </c>
      <c r="I17" s="11">
        <v>43220</v>
      </c>
      <c r="J17" s="9" t="s">
        <v>85</v>
      </c>
      <c r="M17" t="str">
        <f t="shared" si="3"/>
        <v xml:space="preserve">József </v>
      </c>
      <c r="N17" t="str">
        <f t="shared" si="0"/>
        <v/>
      </c>
      <c r="O17" t="str">
        <f t="shared" si="0"/>
        <v/>
      </c>
      <c r="Q17" t="str">
        <f t="shared" si="4"/>
        <v>Böröcz</v>
      </c>
      <c r="R17" t="str">
        <f t="shared" si="1"/>
        <v/>
      </c>
      <c r="S17" t="str">
        <f t="shared" si="1"/>
        <v/>
      </c>
      <c r="AE17" t="s">
        <v>283</v>
      </c>
    </row>
    <row r="18" spans="1:33" x14ac:dyDescent="0.3">
      <c r="A18" s="4" t="s">
        <v>86</v>
      </c>
      <c r="B18" s="5" t="str">
        <f t="shared" si="2"/>
        <v xml:space="preserve">Urbansky, Sören , Vámos,  Péter , Zofka,  Jan </v>
      </c>
      <c r="C18" s="5" t="s">
        <v>11</v>
      </c>
      <c r="D18" s="6">
        <v>18</v>
      </c>
      <c r="E18" s="6">
        <v>3</v>
      </c>
      <c r="F18" s="5" t="s">
        <v>87</v>
      </c>
      <c r="G18" s="6">
        <v>2018</v>
      </c>
      <c r="H18" s="5" t="s">
        <v>88</v>
      </c>
      <c r="I18" s="7">
        <v>43223</v>
      </c>
      <c r="J18" s="5" t="s">
        <v>89</v>
      </c>
      <c r="M18" t="str">
        <f t="shared" si="3"/>
        <v xml:space="preserve">Sören </v>
      </c>
      <c r="N18" t="str">
        <f t="shared" si="3"/>
        <v xml:space="preserve"> Péter </v>
      </c>
      <c r="O18" t="str">
        <f t="shared" si="3"/>
        <v xml:space="preserve"> Jan </v>
      </c>
      <c r="Q18" t="str">
        <f t="shared" si="4"/>
        <v>Urbansky</v>
      </c>
      <c r="R18" t="str">
        <f t="shared" si="4"/>
        <v>Vámos</v>
      </c>
      <c r="S18" t="str">
        <f t="shared" si="4"/>
        <v>Zofka</v>
      </c>
      <c r="AE18" t="s">
        <v>291</v>
      </c>
      <c r="AF18" t="s">
        <v>292</v>
      </c>
      <c r="AG18" t="s">
        <v>293</v>
      </c>
    </row>
    <row r="19" spans="1:33" x14ac:dyDescent="0.3">
      <c r="A19" s="8" t="s">
        <v>90</v>
      </c>
      <c r="B19" s="5" t="str">
        <f t="shared" si="2"/>
        <v xml:space="preserve">Liu, Lei </v>
      </c>
      <c r="C19" s="9" t="s">
        <v>11</v>
      </c>
      <c r="D19" s="10">
        <v>18</v>
      </c>
      <c r="E19" s="10">
        <v>4</v>
      </c>
      <c r="F19" s="9" t="s">
        <v>92</v>
      </c>
      <c r="G19" s="10">
        <v>2018</v>
      </c>
      <c r="H19" s="9" t="s">
        <v>93</v>
      </c>
      <c r="I19" s="11">
        <v>43235</v>
      </c>
      <c r="J19" s="9" t="s">
        <v>94</v>
      </c>
      <c r="M19" t="str">
        <f t="shared" si="3"/>
        <v xml:space="preserve">Lei </v>
      </c>
      <c r="N19" t="str">
        <f t="shared" si="3"/>
        <v/>
      </c>
      <c r="O19" t="str">
        <f t="shared" si="3"/>
        <v/>
      </c>
      <c r="Q19" t="str">
        <f t="shared" si="4"/>
        <v>Liu</v>
      </c>
      <c r="R19" t="str">
        <f t="shared" si="4"/>
        <v/>
      </c>
      <c r="S19" t="str">
        <f t="shared" si="4"/>
        <v/>
      </c>
      <c r="AE19" t="s">
        <v>91</v>
      </c>
    </row>
    <row r="20" spans="1:33" x14ac:dyDescent="0.3">
      <c r="A20" s="4" t="s">
        <v>95</v>
      </c>
      <c r="B20" s="5" t="str">
        <f t="shared" si="2"/>
        <v xml:space="preserve">Jersild, Austin </v>
      </c>
      <c r="C20" s="5" t="s">
        <v>11</v>
      </c>
      <c r="D20" s="6">
        <v>18</v>
      </c>
      <c r="E20" s="6">
        <v>3</v>
      </c>
      <c r="F20" s="5" t="s">
        <v>97</v>
      </c>
      <c r="G20" s="6">
        <v>2018</v>
      </c>
      <c r="H20" s="5" t="s">
        <v>98</v>
      </c>
      <c r="I20" s="7">
        <v>43341</v>
      </c>
      <c r="J20" s="5" t="s">
        <v>99</v>
      </c>
      <c r="M20" t="str">
        <f t="shared" si="3"/>
        <v xml:space="preserve">Austin </v>
      </c>
      <c r="N20" t="str">
        <f t="shared" si="3"/>
        <v/>
      </c>
      <c r="O20" t="str">
        <f t="shared" si="3"/>
        <v/>
      </c>
      <c r="Q20" t="str">
        <f t="shared" si="4"/>
        <v>Jersild</v>
      </c>
      <c r="R20" t="str">
        <f t="shared" si="4"/>
        <v/>
      </c>
      <c r="S20" t="str">
        <f t="shared" si="4"/>
        <v/>
      </c>
      <c r="AE20" t="s">
        <v>96</v>
      </c>
    </row>
    <row r="21" spans="1:33" x14ac:dyDescent="0.3">
      <c r="A21" s="8" t="s">
        <v>100</v>
      </c>
      <c r="B21" s="5" t="str">
        <f t="shared" si="2"/>
        <v xml:space="preserve">Haynes, Mike </v>
      </c>
      <c r="C21" s="9" t="s">
        <v>11</v>
      </c>
      <c r="D21" s="10">
        <v>18</v>
      </c>
      <c r="E21" s="10">
        <v>3</v>
      </c>
      <c r="F21" s="9" t="s">
        <v>102</v>
      </c>
      <c r="G21" s="10">
        <v>2018</v>
      </c>
      <c r="H21" s="9" t="s">
        <v>103</v>
      </c>
      <c r="I21" s="11">
        <v>43293</v>
      </c>
      <c r="J21" s="9" t="s">
        <v>104</v>
      </c>
      <c r="M21" t="str">
        <f t="shared" si="3"/>
        <v xml:space="preserve">Mike </v>
      </c>
      <c r="N21" t="str">
        <f t="shared" si="3"/>
        <v/>
      </c>
      <c r="O21" t="str">
        <f t="shared" si="3"/>
        <v/>
      </c>
      <c r="Q21" t="str">
        <f t="shared" si="4"/>
        <v>Haynes</v>
      </c>
      <c r="R21" t="str">
        <f t="shared" si="4"/>
        <v/>
      </c>
      <c r="S21" t="str">
        <f t="shared" si="4"/>
        <v/>
      </c>
      <c r="AE21" t="s">
        <v>101</v>
      </c>
    </row>
    <row r="22" spans="1:33" x14ac:dyDescent="0.3">
      <c r="A22" s="4" t="s">
        <v>105</v>
      </c>
      <c r="B22" s="5" t="str">
        <f t="shared" si="2"/>
        <v xml:space="preserve">Baines, Gary </v>
      </c>
      <c r="C22" s="5" t="s">
        <v>11</v>
      </c>
      <c r="D22" s="6">
        <v>18</v>
      </c>
      <c r="E22" s="6">
        <v>3</v>
      </c>
      <c r="F22" s="5" t="s">
        <v>107</v>
      </c>
      <c r="G22" s="6">
        <v>2018</v>
      </c>
      <c r="H22" s="5" t="s">
        <v>108</v>
      </c>
      <c r="I22" s="7">
        <v>43303</v>
      </c>
      <c r="J22" s="5" t="s">
        <v>109</v>
      </c>
      <c r="M22" t="str">
        <f t="shared" si="3"/>
        <v xml:space="preserve">Gary </v>
      </c>
      <c r="N22" t="str">
        <f t="shared" si="3"/>
        <v/>
      </c>
      <c r="O22" t="str">
        <f t="shared" si="3"/>
        <v/>
      </c>
      <c r="Q22" t="str">
        <f t="shared" si="4"/>
        <v>Baines</v>
      </c>
      <c r="R22" t="str">
        <f t="shared" si="4"/>
        <v/>
      </c>
      <c r="S22" t="str">
        <f t="shared" si="4"/>
        <v/>
      </c>
      <c r="AE22" t="s">
        <v>106</v>
      </c>
    </row>
    <row r="23" spans="1:33" x14ac:dyDescent="0.3">
      <c r="A23" s="8" t="s">
        <v>110</v>
      </c>
      <c r="B23" s="5" t="str">
        <f t="shared" si="2"/>
        <v xml:space="preserve">Chen, Tao </v>
      </c>
      <c r="C23" s="9" t="s">
        <v>11</v>
      </c>
      <c r="D23" s="10">
        <v>19</v>
      </c>
      <c r="E23" s="10">
        <v>1</v>
      </c>
      <c r="F23" s="9" t="s">
        <v>112</v>
      </c>
      <c r="G23" s="10">
        <v>2019</v>
      </c>
      <c r="H23" s="9" t="s">
        <v>113</v>
      </c>
      <c r="I23" s="11">
        <v>43325</v>
      </c>
      <c r="J23" s="9" t="s">
        <v>114</v>
      </c>
      <c r="M23" t="str">
        <f t="shared" si="3"/>
        <v xml:space="preserve">Tao </v>
      </c>
      <c r="N23" t="str">
        <f t="shared" si="3"/>
        <v/>
      </c>
      <c r="O23" t="str">
        <f t="shared" si="3"/>
        <v/>
      </c>
      <c r="Q23" t="str">
        <f t="shared" si="4"/>
        <v>Chen</v>
      </c>
      <c r="R23" t="str">
        <f t="shared" si="4"/>
        <v/>
      </c>
      <c r="S23" t="str">
        <f t="shared" si="4"/>
        <v/>
      </c>
      <c r="AE23" t="s">
        <v>111</v>
      </c>
    </row>
    <row r="24" spans="1:33" x14ac:dyDescent="0.3">
      <c r="A24" s="4" t="s">
        <v>115</v>
      </c>
      <c r="B24" s="5" t="str">
        <f t="shared" si="2"/>
        <v xml:space="preserve">Cheong, Kee Cheok , He,  Yanqing , Li,  Ran </v>
      </c>
      <c r="C24" s="5" t="s">
        <v>11</v>
      </c>
      <c r="D24" s="6">
        <v>19</v>
      </c>
      <c r="E24" s="6">
        <v>4</v>
      </c>
      <c r="F24" s="5" t="s">
        <v>116</v>
      </c>
      <c r="G24" s="6">
        <v>2019</v>
      </c>
      <c r="H24" s="5" t="s">
        <v>117</v>
      </c>
      <c r="I24" s="7">
        <v>43509</v>
      </c>
      <c r="J24" s="5" t="s">
        <v>118</v>
      </c>
      <c r="M24" t="str">
        <f t="shared" si="3"/>
        <v xml:space="preserve">Kee Cheok </v>
      </c>
      <c r="N24" t="str">
        <f t="shared" si="3"/>
        <v xml:space="preserve"> Yanqing </v>
      </c>
      <c r="O24" t="str">
        <f t="shared" si="3"/>
        <v xml:space="preserve"> Ran </v>
      </c>
      <c r="Q24" t="str">
        <f t="shared" si="4"/>
        <v>Cheong</v>
      </c>
      <c r="R24" t="str">
        <f t="shared" si="4"/>
        <v>He</v>
      </c>
      <c r="S24" t="str">
        <f t="shared" si="4"/>
        <v>Li</v>
      </c>
      <c r="AE24" t="s">
        <v>294</v>
      </c>
      <c r="AF24" t="s">
        <v>295</v>
      </c>
      <c r="AG24" t="s">
        <v>296</v>
      </c>
    </row>
    <row r="25" spans="1:33" x14ac:dyDescent="0.3">
      <c r="A25" s="8" t="s">
        <v>119</v>
      </c>
      <c r="B25" s="5" t="str">
        <f t="shared" si="2"/>
        <v xml:space="preserve">Knüsel, Ariane </v>
      </c>
      <c r="C25" s="9" t="s">
        <v>11</v>
      </c>
      <c r="D25" s="10">
        <v>20</v>
      </c>
      <c r="E25" s="10">
        <v>1</v>
      </c>
      <c r="F25" s="9" t="s">
        <v>120</v>
      </c>
      <c r="G25" s="10">
        <v>2020</v>
      </c>
      <c r="H25" s="9" t="s">
        <v>121</v>
      </c>
      <c r="I25" s="11">
        <v>43531</v>
      </c>
      <c r="J25" s="9" t="s">
        <v>122</v>
      </c>
      <c r="M25" t="str">
        <f t="shared" si="3"/>
        <v xml:space="preserve">Ariane </v>
      </c>
      <c r="N25" t="str">
        <f t="shared" si="3"/>
        <v/>
      </c>
      <c r="O25" t="str">
        <f t="shared" si="3"/>
        <v/>
      </c>
      <c r="Q25" t="str">
        <f t="shared" si="4"/>
        <v>Knüsel</v>
      </c>
      <c r="R25" t="str">
        <f t="shared" si="4"/>
        <v/>
      </c>
      <c r="S25" t="str">
        <f t="shared" si="4"/>
        <v/>
      </c>
      <c r="AE25" t="s">
        <v>284</v>
      </c>
    </row>
    <row r="26" spans="1:33" x14ac:dyDescent="0.3">
      <c r="A26" s="4" t="s">
        <v>123</v>
      </c>
      <c r="B26" s="5" t="str">
        <f t="shared" si="2"/>
        <v xml:space="preserve">Fan, Hongwei , Zou,  Yizheng </v>
      </c>
      <c r="C26" s="5" t="s">
        <v>11</v>
      </c>
      <c r="D26" s="6">
        <v>19</v>
      </c>
      <c r="E26" s="6">
        <v>4</v>
      </c>
      <c r="F26" s="5" t="s">
        <v>124</v>
      </c>
      <c r="G26" s="6">
        <v>2019</v>
      </c>
      <c r="H26" s="5" t="s">
        <v>125</v>
      </c>
      <c r="I26" s="7">
        <v>43549</v>
      </c>
      <c r="J26" s="5" t="s">
        <v>126</v>
      </c>
      <c r="M26" t="str">
        <f t="shared" si="3"/>
        <v xml:space="preserve">Hongwei </v>
      </c>
      <c r="N26" t="str">
        <f t="shared" si="3"/>
        <v xml:space="preserve"> Yizheng </v>
      </c>
      <c r="O26" t="str">
        <f t="shared" si="3"/>
        <v/>
      </c>
      <c r="Q26" t="str">
        <f t="shared" si="4"/>
        <v>Fan</v>
      </c>
      <c r="R26" t="str">
        <f t="shared" si="4"/>
        <v>Zou</v>
      </c>
      <c r="S26" t="str">
        <f t="shared" si="4"/>
        <v/>
      </c>
      <c r="AE26" t="s">
        <v>297</v>
      </c>
      <c r="AF26" t="s">
        <v>298</v>
      </c>
    </row>
    <row r="27" spans="1:33" x14ac:dyDescent="0.3">
      <c r="A27" s="8" t="s">
        <v>127</v>
      </c>
      <c r="B27" s="5" t="str">
        <f t="shared" si="2"/>
        <v xml:space="preserve">Autiello, Nicholas Anthony </v>
      </c>
      <c r="C27" s="9" t="s">
        <v>11</v>
      </c>
      <c r="D27" s="10">
        <v>21</v>
      </c>
      <c r="E27" s="10">
        <v>1</v>
      </c>
      <c r="F27" s="9" t="s">
        <v>129</v>
      </c>
      <c r="G27" s="10">
        <v>2021</v>
      </c>
      <c r="H27" s="9" t="s">
        <v>130</v>
      </c>
      <c r="I27" s="11">
        <v>43552</v>
      </c>
      <c r="J27" s="9" t="s">
        <v>131</v>
      </c>
      <c r="M27" t="str">
        <f t="shared" si="3"/>
        <v xml:space="preserve">Nicholas Anthony </v>
      </c>
      <c r="N27" t="str">
        <f t="shared" si="3"/>
        <v/>
      </c>
      <c r="O27" t="str">
        <f t="shared" si="3"/>
        <v/>
      </c>
      <c r="Q27" t="str">
        <f t="shared" si="4"/>
        <v>Autiello</v>
      </c>
      <c r="R27" t="str">
        <f t="shared" si="4"/>
        <v/>
      </c>
      <c r="S27" t="str">
        <f t="shared" si="4"/>
        <v/>
      </c>
      <c r="AE27" t="s">
        <v>128</v>
      </c>
    </row>
    <row r="28" spans="1:33" x14ac:dyDescent="0.3">
      <c r="A28" s="4" t="s">
        <v>132</v>
      </c>
      <c r="B28" s="5" t="str">
        <f t="shared" si="2"/>
        <v xml:space="preserve">Sun, Jodie Yuzhou </v>
      </c>
      <c r="C28" s="5" t="s">
        <v>11</v>
      </c>
      <c r="D28" s="6">
        <v>20</v>
      </c>
      <c r="E28" s="6">
        <v>1</v>
      </c>
      <c r="F28" s="5" t="s">
        <v>134</v>
      </c>
      <c r="G28" s="6">
        <v>2020</v>
      </c>
      <c r="H28" s="5" t="s">
        <v>135</v>
      </c>
      <c r="I28" s="7">
        <v>43622</v>
      </c>
      <c r="J28" s="5" t="s">
        <v>136</v>
      </c>
      <c r="M28" t="str">
        <f t="shared" si="3"/>
        <v xml:space="preserve">Jodie Yuzhou </v>
      </c>
      <c r="N28" t="str">
        <f t="shared" si="3"/>
        <v/>
      </c>
      <c r="O28" t="str">
        <f t="shared" si="3"/>
        <v/>
      </c>
      <c r="Q28" t="str">
        <f t="shared" si="4"/>
        <v>Sun</v>
      </c>
      <c r="R28" t="str">
        <f t="shared" si="4"/>
        <v/>
      </c>
      <c r="S28" t="str">
        <f t="shared" si="4"/>
        <v/>
      </c>
      <c r="AE28" t="s">
        <v>133</v>
      </c>
    </row>
    <row r="29" spans="1:33" x14ac:dyDescent="0.3">
      <c r="A29" s="8" t="s">
        <v>137</v>
      </c>
      <c r="B29" s="5" t="str">
        <f t="shared" si="2"/>
        <v xml:space="preserve">Kirby, James </v>
      </c>
      <c r="C29" s="9" t="s">
        <v>11</v>
      </c>
      <c r="D29" s="10">
        <v>20</v>
      </c>
      <c r="E29" s="10">
        <v>1</v>
      </c>
      <c r="F29" s="9" t="s">
        <v>139</v>
      </c>
      <c r="G29" s="10">
        <v>2020</v>
      </c>
      <c r="H29" s="9" t="s">
        <v>140</v>
      </c>
      <c r="I29" s="11">
        <v>43668</v>
      </c>
      <c r="J29" s="9" t="s">
        <v>141</v>
      </c>
      <c r="M29" t="str">
        <f t="shared" si="3"/>
        <v xml:space="preserve">James </v>
      </c>
      <c r="N29" t="str">
        <f t="shared" si="3"/>
        <v/>
      </c>
      <c r="O29" t="str">
        <f t="shared" si="3"/>
        <v/>
      </c>
      <c r="Q29" t="str">
        <f t="shared" si="4"/>
        <v>Kirby</v>
      </c>
      <c r="R29" t="str">
        <f t="shared" si="4"/>
        <v/>
      </c>
      <c r="S29" t="str">
        <f t="shared" si="4"/>
        <v/>
      </c>
      <c r="AE29" t="s">
        <v>138</v>
      </c>
    </row>
    <row r="30" spans="1:33" x14ac:dyDescent="0.3">
      <c r="A30" s="4" t="s">
        <v>142</v>
      </c>
      <c r="B30" s="5" t="str">
        <f t="shared" si="2"/>
        <v xml:space="preserve">Forster, Elisabeth </v>
      </c>
      <c r="C30" s="5" t="s">
        <v>11</v>
      </c>
      <c r="D30" s="6">
        <v>21</v>
      </c>
      <c r="E30" s="6">
        <v>4</v>
      </c>
      <c r="F30" s="5" t="s">
        <v>144</v>
      </c>
      <c r="G30" s="6">
        <v>2021</v>
      </c>
      <c r="H30" s="5" t="s">
        <v>145</v>
      </c>
      <c r="I30" s="7">
        <v>43824</v>
      </c>
      <c r="J30" s="5" t="s">
        <v>146</v>
      </c>
      <c r="M30" t="str">
        <f t="shared" si="3"/>
        <v xml:space="preserve">Elisabeth </v>
      </c>
      <c r="N30" t="str">
        <f t="shared" si="3"/>
        <v/>
      </c>
      <c r="O30" t="str">
        <f t="shared" si="3"/>
        <v/>
      </c>
      <c r="Q30" t="str">
        <f t="shared" si="4"/>
        <v>Forster</v>
      </c>
      <c r="R30" t="str">
        <f t="shared" si="4"/>
        <v/>
      </c>
      <c r="S30" t="str">
        <f t="shared" si="4"/>
        <v/>
      </c>
      <c r="AE30" t="s">
        <v>143</v>
      </c>
    </row>
    <row r="31" spans="1:33" x14ac:dyDescent="0.3">
      <c r="A31" s="8" t="s">
        <v>147</v>
      </c>
      <c r="B31" s="5" t="str">
        <f t="shared" si="2"/>
        <v xml:space="preserve">Marku, Ylber </v>
      </c>
      <c r="C31" s="9" t="s">
        <v>11</v>
      </c>
      <c r="D31" s="10">
        <v>21</v>
      </c>
      <c r="E31" s="10">
        <v>2</v>
      </c>
      <c r="F31" s="9" t="s">
        <v>148</v>
      </c>
      <c r="G31" s="10">
        <v>2021</v>
      </c>
      <c r="H31" s="9" t="s">
        <v>149</v>
      </c>
      <c r="I31" s="11">
        <v>44076</v>
      </c>
      <c r="J31" s="9" t="s">
        <v>150</v>
      </c>
      <c r="M31" t="str">
        <f t="shared" si="3"/>
        <v xml:space="preserve">Ylber </v>
      </c>
      <c r="N31" t="str">
        <f t="shared" si="3"/>
        <v/>
      </c>
      <c r="O31" t="str">
        <f t="shared" si="3"/>
        <v/>
      </c>
      <c r="Q31" t="str">
        <f t="shared" si="4"/>
        <v>Marku</v>
      </c>
      <c r="R31" t="str">
        <f t="shared" si="4"/>
        <v/>
      </c>
      <c r="S31" t="str">
        <f t="shared" si="4"/>
        <v/>
      </c>
      <c r="AE31" t="s">
        <v>50</v>
      </c>
    </row>
    <row r="32" spans="1:33" x14ac:dyDescent="0.3">
      <c r="A32" s="4" t="s">
        <v>151</v>
      </c>
      <c r="B32" s="5" t="str">
        <f t="shared" si="2"/>
        <v xml:space="preserve">Tagirova, Alsu </v>
      </c>
      <c r="C32" s="5" t="s">
        <v>11</v>
      </c>
      <c r="D32" s="6">
        <v>20</v>
      </c>
      <c r="E32" s="6">
        <v>4</v>
      </c>
      <c r="F32" s="5" t="s">
        <v>152</v>
      </c>
      <c r="G32" s="6">
        <v>2020</v>
      </c>
      <c r="H32" s="5" t="s">
        <v>153</v>
      </c>
      <c r="I32" s="7">
        <v>44109</v>
      </c>
      <c r="J32" s="5" t="s">
        <v>154</v>
      </c>
      <c r="M32" t="str">
        <f t="shared" si="3"/>
        <v xml:space="preserve">Alsu </v>
      </c>
      <c r="N32" t="str">
        <f t="shared" si="3"/>
        <v/>
      </c>
      <c r="O32" t="str">
        <f t="shared" si="3"/>
        <v/>
      </c>
      <c r="Q32" t="str">
        <f t="shared" si="4"/>
        <v>Tagirova</v>
      </c>
      <c r="R32" t="str">
        <f t="shared" si="4"/>
        <v/>
      </c>
      <c r="S32" t="str">
        <f t="shared" si="4"/>
        <v/>
      </c>
      <c r="AE32" t="s">
        <v>45</v>
      </c>
    </row>
    <row r="33" spans="1:32" x14ac:dyDescent="0.3">
      <c r="A33" s="8" t="s">
        <v>155</v>
      </c>
      <c r="B33" s="5" t="str">
        <f t="shared" si="2"/>
        <v xml:space="preserve">Hamilton, Peter E </v>
      </c>
      <c r="C33" s="9" t="s">
        <v>11</v>
      </c>
      <c r="D33" s="10">
        <v>21</v>
      </c>
      <c r="E33" s="10">
        <v>2</v>
      </c>
      <c r="F33" s="9" t="s">
        <v>157</v>
      </c>
      <c r="G33" s="10">
        <v>2021</v>
      </c>
      <c r="H33" s="9" t="s">
        <v>158</v>
      </c>
      <c r="I33" s="11">
        <v>44293</v>
      </c>
      <c r="J33" s="9" t="s">
        <v>159</v>
      </c>
      <c r="M33" t="str">
        <f t="shared" si="3"/>
        <v xml:space="preserve">Peter E </v>
      </c>
      <c r="N33" t="str">
        <f t="shared" si="3"/>
        <v/>
      </c>
      <c r="O33" t="str">
        <f t="shared" si="3"/>
        <v/>
      </c>
      <c r="Q33" t="str">
        <f t="shared" si="4"/>
        <v>Hamilton</v>
      </c>
      <c r="R33" t="str">
        <f t="shared" si="4"/>
        <v/>
      </c>
      <c r="S33" t="str">
        <f t="shared" si="4"/>
        <v/>
      </c>
      <c r="AE33" t="s">
        <v>156</v>
      </c>
    </row>
    <row r="34" spans="1:32" x14ac:dyDescent="0.3">
      <c r="A34" s="4" t="s">
        <v>160</v>
      </c>
      <c r="B34" s="5" t="str">
        <f t="shared" si="2"/>
        <v xml:space="preserve">Cheng, Xiaohe </v>
      </c>
      <c r="C34" s="5" t="s">
        <v>11</v>
      </c>
      <c r="D34" s="6">
        <v>22</v>
      </c>
      <c r="E34" s="6">
        <v>2</v>
      </c>
      <c r="F34" s="5" t="s">
        <v>162</v>
      </c>
      <c r="G34" s="6">
        <v>2022</v>
      </c>
      <c r="H34" s="5" t="s">
        <v>163</v>
      </c>
      <c r="I34" s="7">
        <v>44419</v>
      </c>
      <c r="J34" s="5" t="s">
        <v>164</v>
      </c>
      <c r="M34" t="str">
        <f t="shared" si="3"/>
        <v xml:space="preserve">Xiaohe </v>
      </c>
      <c r="N34" t="str">
        <f t="shared" si="3"/>
        <v/>
      </c>
      <c r="O34" t="str">
        <f t="shared" si="3"/>
        <v/>
      </c>
      <c r="Q34" t="str">
        <f t="shared" si="4"/>
        <v>Cheng</v>
      </c>
      <c r="R34" t="str">
        <f t="shared" si="4"/>
        <v/>
      </c>
      <c r="S34" t="str">
        <f t="shared" si="4"/>
        <v/>
      </c>
      <c r="AE34" t="s">
        <v>161</v>
      </c>
    </row>
    <row r="35" spans="1:32" x14ac:dyDescent="0.3">
      <c r="A35" s="8" t="s">
        <v>165</v>
      </c>
      <c r="B35" s="5" t="str">
        <f t="shared" si="2"/>
        <v xml:space="preserve">Burnham, Thomas </v>
      </c>
      <c r="C35" s="9" t="s">
        <v>11</v>
      </c>
      <c r="D35" s="10">
        <v>22</v>
      </c>
      <c r="E35" s="10">
        <v>3</v>
      </c>
      <c r="F35" s="9" t="s">
        <v>167</v>
      </c>
      <c r="G35" s="10">
        <v>2022</v>
      </c>
      <c r="H35" s="9" t="s">
        <v>168</v>
      </c>
      <c r="I35" s="11">
        <v>44542</v>
      </c>
      <c r="J35" s="9" t="s">
        <v>169</v>
      </c>
      <c r="M35" t="str">
        <f t="shared" si="3"/>
        <v xml:space="preserve">Thomas </v>
      </c>
      <c r="N35" t="str">
        <f t="shared" si="3"/>
        <v/>
      </c>
      <c r="O35" t="str">
        <f t="shared" si="3"/>
        <v/>
      </c>
      <c r="Q35" t="str">
        <f t="shared" si="4"/>
        <v>Burnham</v>
      </c>
      <c r="R35" t="str">
        <f t="shared" si="4"/>
        <v/>
      </c>
      <c r="S35" t="str">
        <f t="shared" si="4"/>
        <v/>
      </c>
      <c r="AE35" t="s">
        <v>166</v>
      </c>
    </row>
    <row r="36" spans="1:32" x14ac:dyDescent="0.3">
      <c r="A36" s="4" t="s">
        <v>170</v>
      </c>
      <c r="B36" s="5" t="str">
        <f t="shared" si="2"/>
        <v xml:space="preserve">Sun, Jodie Yuzhou </v>
      </c>
      <c r="C36" s="5" t="s">
        <v>11</v>
      </c>
      <c r="D36" s="6">
        <v>22</v>
      </c>
      <c r="E36" s="6">
        <v>4</v>
      </c>
      <c r="F36" s="5" t="s">
        <v>171</v>
      </c>
      <c r="G36" s="6">
        <v>2022</v>
      </c>
      <c r="H36" s="5" t="s">
        <v>172</v>
      </c>
      <c r="I36" s="7">
        <v>44677</v>
      </c>
      <c r="J36" s="5" t="s">
        <v>173</v>
      </c>
      <c r="M36" t="str">
        <f t="shared" si="3"/>
        <v xml:space="preserve">Jodie Yuzhou </v>
      </c>
      <c r="N36" t="str">
        <f t="shared" si="3"/>
        <v/>
      </c>
      <c r="O36" t="str">
        <f t="shared" si="3"/>
        <v/>
      </c>
      <c r="Q36" t="str">
        <f t="shared" si="4"/>
        <v>Sun</v>
      </c>
      <c r="R36" t="str">
        <f t="shared" si="4"/>
        <v/>
      </c>
      <c r="S36" t="str">
        <f t="shared" si="4"/>
        <v/>
      </c>
      <c r="AE36" t="s">
        <v>133</v>
      </c>
    </row>
    <row r="37" spans="1:32" x14ac:dyDescent="0.3">
      <c r="A37" s="8" t="s">
        <v>174</v>
      </c>
      <c r="B37" s="5" t="str">
        <f t="shared" si="2"/>
        <v xml:space="preserve">Gu, Jikun </v>
      </c>
      <c r="C37" s="9" t="s">
        <v>11</v>
      </c>
      <c r="D37" s="10">
        <v>22</v>
      </c>
      <c r="E37" s="10">
        <v>4</v>
      </c>
      <c r="F37" s="9" t="s">
        <v>176</v>
      </c>
      <c r="G37" s="10">
        <v>2022</v>
      </c>
      <c r="H37" s="9" t="s">
        <v>177</v>
      </c>
      <c r="I37" s="11">
        <v>44733</v>
      </c>
      <c r="J37" s="9" t="s">
        <v>178</v>
      </c>
      <c r="M37" t="str">
        <f t="shared" si="3"/>
        <v xml:space="preserve">Jikun </v>
      </c>
      <c r="N37" t="str">
        <f t="shared" si="3"/>
        <v/>
      </c>
      <c r="O37" t="str">
        <f t="shared" si="3"/>
        <v/>
      </c>
      <c r="Q37" t="str">
        <f t="shared" si="4"/>
        <v>Gu</v>
      </c>
      <c r="R37" t="str">
        <f t="shared" si="4"/>
        <v/>
      </c>
      <c r="S37" t="str">
        <f t="shared" si="4"/>
        <v/>
      </c>
      <c r="AE37" t="s">
        <v>175</v>
      </c>
    </row>
    <row r="38" spans="1:32" x14ac:dyDescent="0.3">
      <c r="A38" s="4" t="s">
        <v>179</v>
      </c>
      <c r="B38" s="5" t="str">
        <f t="shared" si="2"/>
        <v xml:space="preserve">Fan, Hongwei , Zou,  Yizheng </v>
      </c>
      <c r="C38" s="5" t="s">
        <v>11</v>
      </c>
      <c r="D38" s="6">
        <v>23</v>
      </c>
      <c r="E38" s="6">
        <v>1</v>
      </c>
      <c r="F38" s="5" t="s">
        <v>180</v>
      </c>
      <c r="G38" s="6">
        <v>2023</v>
      </c>
      <c r="H38" s="5" t="s">
        <v>181</v>
      </c>
      <c r="I38" s="7">
        <v>44769</v>
      </c>
      <c r="J38" s="5" t="s">
        <v>182</v>
      </c>
      <c r="M38" t="str">
        <f t="shared" si="3"/>
        <v xml:space="preserve">Hongwei </v>
      </c>
      <c r="N38" t="str">
        <f t="shared" si="3"/>
        <v xml:space="preserve"> Yizheng </v>
      </c>
      <c r="O38" t="str">
        <f t="shared" si="3"/>
        <v/>
      </c>
      <c r="Q38" t="str">
        <f t="shared" si="4"/>
        <v>Fan</v>
      </c>
      <c r="R38" t="str">
        <f t="shared" si="4"/>
        <v>Zou</v>
      </c>
      <c r="S38" t="str">
        <f t="shared" si="4"/>
        <v/>
      </c>
      <c r="AE38" t="s">
        <v>297</v>
      </c>
      <c r="AF38" t="s">
        <v>298</v>
      </c>
    </row>
    <row r="39" spans="1:32" x14ac:dyDescent="0.3">
      <c r="A39" s="8" t="s">
        <v>183</v>
      </c>
      <c r="B39" s="5" t="str">
        <f t="shared" si="2"/>
        <v xml:space="preserve">Williams, Brandon Kirk </v>
      </c>
      <c r="C39" s="9" t="s">
        <v>11</v>
      </c>
      <c r="D39" s="10">
        <v>24</v>
      </c>
      <c r="E39" s="10">
        <v>1</v>
      </c>
      <c r="F39" s="9" t="s">
        <v>185</v>
      </c>
      <c r="G39" s="10">
        <v>2024</v>
      </c>
      <c r="H39" s="9" t="s">
        <v>186</v>
      </c>
      <c r="I39" s="11">
        <v>44832</v>
      </c>
      <c r="J39" s="9" t="s">
        <v>187</v>
      </c>
      <c r="M39" t="str">
        <f t="shared" si="3"/>
        <v xml:space="preserve">Brandon Kirk </v>
      </c>
      <c r="N39" t="str">
        <f t="shared" si="3"/>
        <v/>
      </c>
      <c r="O39" t="str">
        <f t="shared" si="3"/>
        <v/>
      </c>
      <c r="Q39" t="str">
        <f t="shared" si="4"/>
        <v>Williams</v>
      </c>
      <c r="R39" t="str">
        <f t="shared" si="4"/>
        <v/>
      </c>
      <c r="S39" t="str">
        <f t="shared" si="4"/>
        <v/>
      </c>
      <c r="AE39" t="s">
        <v>184</v>
      </c>
    </row>
    <row r="40" spans="1:32" x14ac:dyDescent="0.3">
      <c r="A40" s="4" t="s">
        <v>188</v>
      </c>
      <c r="B40" s="5" t="str">
        <f t="shared" si="2"/>
        <v xml:space="preserve">Chen, Hao </v>
      </c>
      <c r="C40" s="5" t="s">
        <v>11</v>
      </c>
      <c r="D40" s="6"/>
      <c r="E40" s="6"/>
      <c r="F40" s="5" t="s">
        <v>190</v>
      </c>
      <c r="G40" s="6">
        <v>5187</v>
      </c>
      <c r="H40" s="5" t="s">
        <v>191</v>
      </c>
      <c r="I40" s="7">
        <v>45034</v>
      </c>
      <c r="J40" s="5" t="s">
        <v>192</v>
      </c>
      <c r="M40" t="str">
        <f t="shared" si="3"/>
        <v xml:space="preserve">Hao </v>
      </c>
      <c r="N40" t="str">
        <f t="shared" si="3"/>
        <v/>
      </c>
      <c r="O40" t="str">
        <f t="shared" si="3"/>
        <v/>
      </c>
      <c r="Q40" t="str">
        <f t="shared" si="4"/>
        <v>Chen</v>
      </c>
      <c r="R40" t="str">
        <f t="shared" si="4"/>
        <v/>
      </c>
      <c r="S40" t="str">
        <f t="shared" si="4"/>
        <v/>
      </c>
      <c r="AE40" t="s">
        <v>189</v>
      </c>
    </row>
    <row r="41" spans="1:32" x14ac:dyDescent="0.3">
      <c r="A41" s="8" t="s">
        <v>193</v>
      </c>
      <c r="B41" s="5" t="str">
        <f t="shared" si="2"/>
        <v xml:space="preserve">Fujiangchuan, Rao , Shi,  Yifan </v>
      </c>
      <c r="C41" s="9" t="s">
        <v>11</v>
      </c>
      <c r="D41" s="10">
        <v>23</v>
      </c>
      <c r="E41" s="10">
        <v>4</v>
      </c>
      <c r="F41" s="9" t="s">
        <v>194</v>
      </c>
      <c r="G41" s="10">
        <v>2023</v>
      </c>
      <c r="H41" s="9" t="s">
        <v>195</v>
      </c>
      <c r="I41" s="11">
        <v>45056</v>
      </c>
      <c r="J41" s="9" t="s">
        <v>196</v>
      </c>
      <c r="M41" t="str">
        <f t="shared" si="3"/>
        <v xml:space="preserve">Rao </v>
      </c>
      <c r="N41" t="str">
        <f t="shared" si="3"/>
        <v xml:space="preserve"> Yifan </v>
      </c>
      <c r="O41" t="str">
        <f t="shared" si="3"/>
        <v/>
      </c>
      <c r="Q41" t="str">
        <f t="shared" si="4"/>
        <v>Fujiangchuan</v>
      </c>
      <c r="R41" t="str">
        <f t="shared" si="4"/>
        <v>Shi</v>
      </c>
      <c r="S41" t="str">
        <f t="shared" si="4"/>
        <v/>
      </c>
      <c r="AE41" t="s">
        <v>299</v>
      </c>
      <c r="AF41" t="s">
        <v>300</v>
      </c>
    </row>
    <row r="42" spans="1:32" x14ac:dyDescent="0.3">
      <c r="A42" s="4" t="s">
        <v>197</v>
      </c>
      <c r="B42" s="5" t="str">
        <f t="shared" si="2"/>
        <v xml:space="preserve">Nasser, Yasser Ali </v>
      </c>
      <c r="C42" s="5" t="s">
        <v>11</v>
      </c>
      <c r="D42" s="6"/>
      <c r="E42" s="6"/>
      <c r="F42" s="5" t="s">
        <v>190</v>
      </c>
      <c r="G42" s="6">
        <v>5187</v>
      </c>
      <c r="H42" s="5" t="s">
        <v>199</v>
      </c>
      <c r="I42" s="7">
        <v>45068</v>
      </c>
      <c r="J42" s="5" t="s">
        <v>200</v>
      </c>
      <c r="M42" t="str">
        <f t="shared" si="3"/>
        <v xml:space="preserve">Yasser Ali </v>
      </c>
      <c r="N42" t="str">
        <f t="shared" si="3"/>
        <v/>
      </c>
      <c r="O42" t="str">
        <f t="shared" si="3"/>
        <v/>
      </c>
      <c r="Q42" t="str">
        <f t="shared" si="4"/>
        <v>Nasser</v>
      </c>
      <c r="R42" t="str">
        <f t="shared" si="4"/>
        <v/>
      </c>
      <c r="S42" t="str">
        <f t="shared" si="4"/>
        <v/>
      </c>
      <c r="AE42" t="s">
        <v>198</v>
      </c>
    </row>
    <row r="43" spans="1:32" x14ac:dyDescent="0.3">
      <c r="A43" s="8" t="s">
        <v>201</v>
      </c>
      <c r="B43" s="5" t="str">
        <f t="shared" si="2"/>
        <v xml:space="preserve">Meyskens, Covell F </v>
      </c>
      <c r="C43" s="9" t="s">
        <v>11</v>
      </c>
      <c r="D43" s="10"/>
      <c r="E43" s="10"/>
      <c r="F43" s="9" t="s">
        <v>203</v>
      </c>
      <c r="G43" s="10">
        <v>5187</v>
      </c>
      <c r="H43" s="9" t="s">
        <v>204</v>
      </c>
      <c r="I43" s="11">
        <v>45102</v>
      </c>
      <c r="J43" s="9" t="s">
        <v>205</v>
      </c>
      <c r="M43" t="str">
        <f t="shared" si="3"/>
        <v xml:space="preserve">Covell F </v>
      </c>
      <c r="N43" t="str">
        <f t="shared" si="3"/>
        <v/>
      </c>
      <c r="O43" t="str">
        <f t="shared" si="3"/>
        <v/>
      </c>
      <c r="Q43" t="str">
        <f t="shared" si="4"/>
        <v>Meyskens</v>
      </c>
      <c r="R43" t="str">
        <f t="shared" si="4"/>
        <v/>
      </c>
      <c r="S43" t="str">
        <f t="shared" si="4"/>
        <v/>
      </c>
      <c r="AE43" t="s">
        <v>202</v>
      </c>
    </row>
    <row r="44" spans="1:32" x14ac:dyDescent="0.3">
      <c r="A44" s="4" t="s">
        <v>206</v>
      </c>
      <c r="B44" s="5" t="str">
        <f t="shared" si="2"/>
        <v xml:space="preserve">Klass, Anatol E </v>
      </c>
      <c r="C44" s="5" t="s">
        <v>11</v>
      </c>
      <c r="D44" s="6"/>
      <c r="E44" s="6"/>
      <c r="F44" s="5" t="s">
        <v>208</v>
      </c>
      <c r="G44" s="6">
        <v>5187</v>
      </c>
      <c r="H44" s="5" t="s">
        <v>209</v>
      </c>
      <c r="I44" s="7">
        <v>45102</v>
      </c>
      <c r="J44" s="5" t="s">
        <v>210</v>
      </c>
      <c r="M44" t="str">
        <f t="shared" si="3"/>
        <v xml:space="preserve">Anatol E </v>
      </c>
      <c r="N44" t="str">
        <f t="shared" si="3"/>
        <v/>
      </c>
      <c r="O44" t="str">
        <f t="shared" si="3"/>
        <v/>
      </c>
      <c r="Q44" t="str">
        <f t="shared" si="4"/>
        <v>Klass</v>
      </c>
      <c r="R44" t="str">
        <f t="shared" si="4"/>
        <v/>
      </c>
      <c r="S44" t="str">
        <f t="shared" si="4"/>
        <v/>
      </c>
      <c r="AE44" t="s">
        <v>207</v>
      </c>
    </row>
    <row r="45" spans="1:32" x14ac:dyDescent="0.3">
      <c r="A45" s="8" t="s">
        <v>211</v>
      </c>
      <c r="B45" s="5" t="str">
        <f t="shared" si="2"/>
        <v xml:space="preserve">Lopes, Helena F S </v>
      </c>
      <c r="C45" s="9" t="s">
        <v>11</v>
      </c>
      <c r="D45" s="10"/>
      <c r="E45" s="10"/>
      <c r="F45" s="9" t="s">
        <v>213</v>
      </c>
      <c r="G45" s="10">
        <v>5187</v>
      </c>
      <c r="H45" s="9" t="s">
        <v>214</v>
      </c>
      <c r="I45" s="11">
        <v>45183</v>
      </c>
      <c r="J45" s="9" t="s">
        <v>215</v>
      </c>
      <c r="M45" t="str">
        <f t="shared" si="3"/>
        <v xml:space="preserve">Helena F S </v>
      </c>
      <c r="N45" t="str">
        <f t="shared" si="3"/>
        <v/>
      </c>
      <c r="O45" t="str">
        <f t="shared" si="3"/>
        <v/>
      </c>
      <c r="Q45" t="str">
        <f t="shared" si="4"/>
        <v>Lopes</v>
      </c>
      <c r="R45" t="str">
        <f t="shared" si="4"/>
        <v/>
      </c>
      <c r="S45" t="str">
        <f t="shared" si="4"/>
        <v/>
      </c>
      <c r="AE45" t="s">
        <v>212</v>
      </c>
    </row>
    <row r="46" spans="1:32" x14ac:dyDescent="0.3">
      <c r="A46" s="4" t="s">
        <v>216</v>
      </c>
      <c r="B46" s="5" t="str">
        <f t="shared" si="2"/>
        <v xml:space="preserve">Gong, Bingyi , Minami,  Kazushi </v>
      </c>
      <c r="C46" s="5" t="s">
        <v>11</v>
      </c>
      <c r="D46" s="6"/>
      <c r="E46" s="6"/>
      <c r="F46" s="5" t="s">
        <v>217</v>
      </c>
      <c r="G46" s="6">
        <v>5187</v>
      </c>
      <c r="H46" s="5" t="s">
        <v>218</v>
      </c>
      <c r="I46" s="7">
        <v>45230</v>
      </c>
      <c r="J46" s="5" t="s">
        <v>219</v>
      </c>
      <c r="M46" t="str">
        <f t="shared" si="3"/>
        <v xml:space="preserve">Bingyi </v>
      </c>
      <c r="N46" t="str">
        <f t="shared" si="3"/>
        <v xml:space="preserve"> Kazushi </v>
      </c>
      <c r="O46" t="str">
        <f t="shared" si="3"/>
        <v/>
      </c>
      <c r="Q46" t="str">
        <f t="shared" si="4"/>
        <v>Gong</v>
      </c>
      <c r="R46" t="str">
        <f t="shared" si="4"/>
        <v>Minami</v>
      </c>
      <c r="S46" t="str">
        <f t="shared" si="4"/>
        <v/>
      </c>
      <c r="AE46" t="s">
        <v>301</v>
      </c>
      <c r="AF46" t="s">
        <v>302</v>
      </c>
    </row>
    <row r="47" spans="1:32" x14ac:dyDescent="0.3">
      <c r="A47" s="8" t="s">
        <v>220</v>
      </c>
      <c r="B47" s="5" t="str">
        <f t="shared" si="2"/>
        <v xml:space="preserve">Zofka, Jan </v>
      </c>
      <c r="C47" s="9" t="s">
        <v>11</v>
      </c>
      <c r="D47" s="10">
        <v>25</v>
      </c>
      <c r="E47" s="10">
        <v>3</v>
      </c>
      <c r="F47" s="9" t="s">
        <v>221</v>
      </c>
      <c r="G47" s="10">
        <v>2025</v>
      </c>
      <c r="H47" s="9" t="s">
        <v>222</v>
      </c>
      <c r="I47" s="11">
        <v>45335</v>
      </c>
      <c r="J47" s="9" t="s">
        <v>223</v>
      </c>
      <c r="M47" t="str">
        <f t="shared" si="3"/>
        <v xml:space="preserve">Jan </v>
      </c>
      <c r="N47" t="str">
        <f t="shared" si="3"/>
        <v/>
      </c>
      <c r="O47" t="str">
        <f t="shared" si="3"/>
        <v/>
      </c>
      <c r="Q47" t="str">
        <f t="shared" si="4"/>
        <v>Zofka</v>
      </c>
      <c r="R47" t="str">
        <f t="shared" si="4"/>
        <v/>
      </c>
      <c r="S47" t="str">
        <f t="shared" si="4"/>
        <v/>
      </c>
      <c r="AE47" t="s">
        <v>55</v>
      </c>
    </row>
    <row r="48" spans="1:32" x14ac:dyDescent="0.3">
      <c r="A48" s="4" t="s">
        <v>224</v>
      </c>
      <c r="B48" s="5" t="str">
        <f t="shared" si="2"/>
        <v xml:space="preserve">Barker, Caitlin </v>
      </c>
      <c r="C48" s="5" t="s">
        <v>11</v>
      </c>
      <c r="D48" s="6"/>
      <c r="E48" s="6"/>
      <c r="F48" s="5" t="s">
        <v>226</v>
      </c>
      <c r="G48" s="6">
        <v>5187</v>
      </c>
      <c r="H48" s="5" t="s">
        <v>227</v>
      </c>
      <c r="I48" s="7">
        <v>45337</v>
      </c>
      <c r="J48" s="5" t="s">
        <v>228</v>
      </c>
      <c r="M48" t="str">
        <f t="shared" si="3"/>
        <v xml:space="preserve">Caitlin </v>
      </c>
      <c r="N48" t="str">
        <f t="shared" si="3"/>
        <v/>
      </c>
      <c r="O48" t="str">
        <f t="shared" si="3"/>
        <v/>
      </c>
      <c r="Q48" t="str">
        <f t="shared" si="4"/>
        <v>Barker</v>
      </c>
      <c r="R48" t="str">
        <f t="shared" si="4"/>
        <v/>
      </c>
      <c r="S48" t="str">
        <f t="shared" si="4"/>
        <v/>
      </c>
      <c r="AE48" t="s">
        <v>225</v>
      </c>
    </row>
    <row r="49" spans="1:32" x14ac:dyDescent="0.3">
      <c r="A49" s="8" t="s">
        <v>229</v>
      </c>
      <c r="B49" s="5" t="str">
        <f t="shared" si="2"/>
        <v xml:space="preserve">She, Gangzheng </v>
      </c>
      <c r="C49" s="9" t="s">
        <v>11</v>
      </c>
      <c r="D49" s="10">
        <v>24</v>
      </c>
      <c r="E49" s="10">
        <v>3</v>
      </c>
      <c r="F49" s="9" t="s">
        <v>231</v>
      </c>
      <c r="G49" s="10">
        <v>2024</v>
      </c>
      <c r="H49" s="9" t="s">
        <v>232</v>
      </c>
      <c r="I49" s="11">
        <v>45411</v>
      </c>
      <c r="J49" s="9" t="s">
        <v>233</v>
      </c>
      <c r="M49" t="str">
        <f t="shared" si="3"/>
        <v xml:space="preserve">Gangzheng </v>
      </c>
      <c r="N49" t="str">
        <f t="shared" si="3"/>
        <v/>
      </c>
      <c r="O49" t="str">
        <f t="shared" si="3"/>
        <v/>
      </c>
      <c r="Q49" t="str">
        <f t="shared" si="4"/>
        <v>She</v>
      </c>
      <c r="R49" t="str">
        <f t="shared" si="4"/>
        <v/>
      </c>
      <c r="S49" t="str">
        <f t="shared" si="4"/>
        <v/>
      </c>
      <c r="AE49" t="s">
        <v>230</v>
      </c>
    </row>
    <row r="50" spans="1:32" x14ac:dyDescent="0.3">
      <c r="A50" s="4" t="s">
        <v>234</v>
      </c>
      <c r="B50" s="5" t="str">
        <f t="shared" si="2"/>
        <v xml:space="preserve">Erofeev, Nikolay </v>
      </c>
      <c r="C50" s="5" t="s">
        <v>11</v>
      </c>
      <c r="D50" s="6">
        <v>24</v>
      </c>
      <c r="E50" s="6">
        <v>3</v>
      </c>
      <c r="F50" s="5" t="s">
        <v>236</v>
      </c>
      <c r="G50" s="6">
        <v>2024</v>
      </c>
      <c r="H50" s="5" t="s">
        <v>237</v>
      </c>
      <c r="I50" s="7">
        <v>45432</v>
      </c>
      <c r="J50" s="5" t="s">
        <v>238</v>
      </c>
      <c r="M50" t="str">
        <f t="shared" si="3"/>
        <v xml:space="preserve">Nikolay </v>
      </c>
      <c r="N50" t="str">
        <f t="shared" si="3"/>
        <v/>
      </c>
      <c r="O50" t="str">
        <f t="shared" si="3"/>
        <v/>
      </c>
      <c r="Q50" t="str">
        <f t="shared" si="4"/>
        <v>Erofeev</v>
      </c>
      <c r="R50" t="str">
        <f t="shared" si="4"/>
        <v/>
      </c>
      <c r="S50" t="str">
        <f t="shared" si="4"/>
        <v/>
      </c>
      <c r="AE50" t="s">
        <v>235</v>
      </c>
    </row>
    <row r="51" spans="1:32" x14ac:dyDescent="0.3">
      <c r="A51" s="8" t="s">
        <v>239</v>
      </c>
      <c r="B51" s="5" t="str">
        <f t="shared" si="2"/>
        <v xml:space="preserve">Stubbs, Paul </v>
      </c>
      <c r="C51" s="9" t="s">
        <v>11</v>
      </c>
      <c r="D51" s="10">
        <v>25</v>
      </c>
      <c r="E51" s="10">
        <v>3</v>
      </c>
      <c r="F51" s="9" t="s">
        <v>241</v>
      </c>
      <c r="G51" s="10">
        <v>2025</v>
      </c>
      <c r="H51" s="9" t="s">
        <v>242</v>
      </c>
      <c r="I51" s="11">
        <v>45477</v>
      </c>
      <c r="J51" s="9" t="s">
        <v>243</v>
      </c>
      <c r="M51" t="str">
        <f t="shared" si="3"/>
        <v xml:space="preserve">Paul </v>
      </c>
      <c r="N51" t="str">
        <f t="shared" si="3"/>
        <v/>
      </c>
      <c r="O51" t="str">
        <f t="shared" si="3"/>
        <v/>
      </c>
      <c r="Q51" t="str">
        <f t="shared" si="4"/>
        <v>Stubbs</v>
      </c>
      <c r="R51" t="str">
        <f t="shared" si="4"/>
        <v/>
      </c>
      <c r="S51" t="str">
        <f t="shared" si="4"/>
        <v/>
      </c>
      <c r="AE51" t="s">
        <v>240</v>
      </c>
    </row>
    <row r="52" spans="1:32" x14ac:dyDescent="0.3">
      <c r="A52" s="4" t="s">
        <v>244</v>
      </c>
      <c r="B52" s="5" t="str">
        <f t="shared" si="2"/>
        <v xml:space="preserve">Chabrowski, Igor Iwo </v>
      </c>
      <c r="C52" s="5" t="s">
        <v>11</v>
      </c>
      <c r="D52" s="6">
        <v>25</v>
      </c>
      <c r="E52" s="6">
        <v>1</v>
      </c>
      <c r="F52" s="5" t="s">
        <v>246</v>
      </c>
      <c r="G52" s="6">
        <v>2025</v>
      </c>
      <c r="H52" s="5" t="s">
        <v>247</v>
      </c>
      <c r="I52" s="7">
        <v>45515</v>
      </c>
      <c r="J52" s="5" t="s">
        <v>248</v>
      </c>
      <c r="M52" t="str">
        <f t="shared" si="3"/>
        <v xml:space="preserve">Igor Iwo </v>
      </c>
      <c r="N52" t="str">
        <f t="shared" si="3"/>
        <v/>
      </c>
      <c r="O52" t="str">
        <f t="shared" si="3"/>
        <v/>
      </c>
      <c r="Q52" t="str">
        <f t="shared" si="4"/>
        <v>Chabrowski</v>
      </c>
      <c r="R52" t="str">
        <f t="shared" si="4"/>
        <v/>
      </c>
      <c r="S52" t="str">
        <f t="shared" si="4"/>
        <v/>
      </c>
      <c r="AE52" t="s">
        <v>245</v>
      </c>
    </row>
    <row r="53" spans="1:32" x14ac:dyDescent="0.3">
      <c r="A53" s="8" t="s">
        <v>249</v>
      </c>
      <c r="B53" s="5" t="str">
        <f t="shared" si="2"/>
        <v xml:space="preserve">Millwood, Pete </v>
      </c>
      <c r="C53" s="9" t="s">
        <v>11</v>
      </c>
      <c r="D53" s="10"/>
      <c r="E53" s="10"/>
      <c r="F53" s="9" t="s">
        <v>203</v>
      </c>
      <c r="G53" s="10">
        <v>5187</v>
      </c>
      <c r="H53" s="9" t="s">
        <v>251</v>
      </c>
      <c r="I53" s="11">
        <v>45566</v>
      </c>
      <c r="J53" s="9" t="s">
        <v>252</v>
      </c>
      <c r="M53" t="str">
        <f t="shared" si="3"/>
        <v xml:space="preserve">Pete </v>
      </c>
      <c r="N53" t="str">
        <f t="shared" si="3"/>
        <v/>
      </c>
      <c r="O53" t="str">
        <f t="shared" si="3"/>
        <v/>
      </c>
      <c r="Q53" t="str">
        <f t="shared" si="4"/>
        <v>Millwood</v>
      </c>
      <c r="R53" t="str">
        <f t="shared" si="4"/>
        <v/>
      </c>
      <c r="S53" t="str">
        <f t="shared" si="4"/>
        <v/>
      </c>
      <c r="AE53" t="s">
        <v>250</v>
      </c>
    </row>
    <row r="54" spans="1:32" x14ac:dyDescent="0.3">
      <c r="A54" s="4" t="s">
        <v>253</v>
      </c>
      <c r="B54" s="5" t="str">
        <f t="shared" si="2"/>
        <v xml:space="preserve">Yang, Meng </v>
      </c>
      <c r="C54" s="5" t="s">
        <v>11</v>
      </c>
      <c r="D54" s="6"/>
      <c r="E54" s="6"/>
      <c r="F54" s="5" t="s">
        <v>208</v>
      </c>
      <c r="G54" s="6">
        <v>5187</v>
      </c>
      <c r="H54" s="5" t="s">
        <v>255</v>
      </c>
      <c r="I54" s="7">
        <v>45624</v>
      </c>
      <c r="J54" s="5" t="s">
        <v>256</v>
      </c>
      <c r="M54" t="str">
        <f t="shared" si="3"/>
        <v xml:space="preserve">Meng </v>
      </c>
      <c r="N54" t="str">
        <f t="shared" si="3"/>
        <v/>
      </c>
      <c r="O54" t="str">
        <f t="shared" si="3"/>
        <v/>
      </c>
      <c r="Q54" t="str">
        <f t="shared" si="4"/>
        <v>Yang</v>
      </c>
      <c r="R54" t="str">
        <f t="shared" si="4"/>
        <v/>
      </c>
      <c r="S54" t="str">
        <f t="shared" si="4"/>
        <v/>
      </c>
      <c r="AE54" t="s">
        <v>254</v>
      </c>
    </row>
    <row r="55" spans="1:32" x14ac:dyDescent="0.3">
      <c r="A55" s="8" t="s">
        <v>257</v>
      </c>
      <c r="B55" s="5" t="str">
        <f t="shared" si="2"/>
        <v xml:space="preserve">Jiang, Huajie , Minami,  Kazushi </v>
      </c>
      <c r="C55" s="9" t="s">
        <v>11</v>
      </c>
      <c r="D55" s="10">
        <v>25</v>
      </c>
      <c r="E55" s="10">
        <v>1</v>
      </c>
      <c r="F55" s="9" t="s">
        <v>258</v>
      </c>
      <c r="G55" s="10">
        <v>2025</v>
      </c>
      <c r="H55" s="9" t="s">
        <v>259</v>
      </c>
      <c r="I55" s="11">
        <v>45645</v>
      </c>
      <c r="J55" s="9" t="s">
        <v>260</v>
      </c>
      <c r="M55" t="str">
        <f t="shared" si="3"/>
        <v xml:space="preserve">Huajie </v>
      </c>
      <c r="N55" t="str">
        <f t="shared" si="3"/>
        <v xml:space="preserve"> Kazushi </v>
      </c>
      <c r="O55" t="str">
        <f t="shared" si="3"/>
        <v/>
      </c>
      <c r="Q55" t="str">
        <f t="shared" si="4"/>
        <v>Jiang</v>
      </c>
      <c r="R55" t="str">
        <f t="shared" si="4"/>
        <v>Minami</v>
      </c>
      <c r="S55" t="str">
        <f t="shared" si="4"/>
        <v/>
      </c>
      <c r="AE55" t="s">
        <v>303</v>
      </c>
      <c r="AF55" t="s">
        <v>302</v>
      </c>
    </row>
    <row r="56" spans="1:32" x14ac:dyDescent="0.3">
      <c r="A56" s="4" t="s">
        <v>261</v>
      </c>
      <c r="B56" s="5" t="str">
        <f t="shared" si="2"/>
        <v xml:space="preserve">Xu, Hang </v>
      </c>
      <c r="C56" s="5" t="s">
        <v>11</v>
      </c>
      <c r="D56" s="6"/>
      <c r="E56" s="6"/>
      <c r="F56" s="5" t="s">
        <v>203</v>
      </c>
      <c r="G56" s="6">
        <v>5187</v>
      </c>
      <c r="H56" s="5" t="s">
        <v>263</v>
      </c>
      <c r="I56" s="7">
        <v>45720</v>
      </c>
      <c r="J56" s="5" t="s">
        <v>264</v>
      </c>
      <c r="M56" t="str">
        <f t="shared" si="3"/>
        <v xml:space="preserve">Hang </v>
      </c>
      <c r="N56" t="str">
        <f t="shared" si="3"/>
        <v/>
      </c>
      <c r="O56" t="str">
        <f t="shared" si="3"/>
        <v/>
      </c>
      <c r="Q56" t="str">
        <f t="shared" si="4"/>
        <v>Xu</v>
      </c>
      <c r="R56" t="str">
        <f t="shared" si="4"/>
        <v/>
      </c>
      <c r="S56" t="str">
        <f t="shared" si="4"/>
        <v/>
      </c>
      <c r="AE56" t="s">
        <v>262</v>
      </c>
    </row>
    <row r="57" spans="1:32" x14ac:dyDescent="0.3">
      <c r="A57" s="8" t="s">
        <v>265</v>
      </c>
      <c r="B57" s="5" t="str">
        <f t="shared" si="2"/>
        <v xml:space="preserve">Lee, Joseph </v>
      </c>
      <c r="C57" s="9" t="s">
        <v>11</v>
      </c>
      <c r="D57" s="10"/>
      <c r="E57" s="10"/>
      <c r="F57" s="9" t="s">
        <v>217</v>
      </c>
      <c r="G57" s="10">
        <v>5187</v>
      </c>
      <c r="H57" s="9" t="s">
        <v>267</v>
      </c>
      <c r="I57" s="11">
        <v>45811</v>
      </c>
      <c r="J57" s="9" t="s">
        <v>268</v>
      </c>
      <c r="M57" t="str">
        <f t="shared" si="3"/>
        <v xml:space="preserve">Joseph </v>
      </c>
      <c r="N57" t="str">
        <f t="shared" si="3"/>
        <v/>
      </c>
      <c r="O57" t="str">
        <f t="shared" si="3"/>
        <v/>
      </c>
      <c r="Q57" t="str">
        <f t="shared" si="4"/>
        <v>Lee</v>
      </c>
      <c r="R57" t="str">
        <f t="shared" si="4"/>
        <v/>
      </c>
      <c r="S57" t="str">
        <f t="shared" si="4"/>
        <v/>
      </c>
      <c r="AE57" t="s">
        <v>266</v>
      </c>
    </row>
    <row r="58" spans="1:32" x14ac:dyDescent="0.3">
      <c r="A58" s="4" t="s">
        <v>269</v>
      </c>
      <c r="B58" s="5" t="str">
        <f t="shared" si="2"/>
        <v xml:space="preserve">Yung, Kenneth Kai-Chung </v>
      </c>
      <c r="C58" s="5" t="s">
        <v>11</v>
      </c>
      <c r="D58" s="6"/>
      <c r="E58" s="6"/>
      <c r="F58" s="5" t="s">
        <v>271</v>
      </c>
      <c r="G58" s="6">
        <v>5187</v>
      </c>
      <c r="H58" s="5" t="s">
        <v>272</v>
      </c>
      <c r="I58" s="7">
        <v>45817</v>
      </c>
      <c r="J58" s="5" t="s">
        <v>273</v>
      </c>
      <c r="M58" t="str">
        <f t="shared" si="3"/>
        <v xml:space="preserve">Kenneth Kai-Chung </v>
      </c>
      <c r="N58" t="str">
        <f t="shared" si="3"/>
        <v/>
      </c>
      <c r="O58" t="str">
        <f t="shared" si="3"/>
        <v/>
      </c>
      <c r="Q58" t="str">
        <f t="shared" si="4"/>
        <v>Yung</v>
      </c>
      <c r="R58" t="str">
        <f t="shared" si="4"/>
        <v/>
      </c>
      <c r="S58" t="str">
        <f t="shared" si="4"/>
        <v/>
      </c>
      <c r="AE58" t="s">
        <v>270</v>
      </c>
    </row>
    <row r="59" spans="1:32" x14ac:dyDescent="0.3">
      <c r="A59" s="8" t="s">
        <v>274</v>
      </c>
      <c r="B59" s="5" t="str">
        <f t="shared" si="2"/>
        <v xml:space="preserve">Meyskens, Covell F , Millwood,  Pete </v>
      </c>
      <c r="C59" s="9" t="s">
        <v>11</v>
      </c>
      <c r="D59" s="10"/>
      <c r="E59" s="10"/>
      <c r="F59" s="9" t="s">
        <v>275</v>
      </c>
      <c r="G59" s="10">
        <v>5187</v>
      </c>
      <c r="H59" s="9" t="s">
        <v>276</v>
      </c>
      <c r="I59" s="11">
        <v>45827</v>
      </c>
      <c r="J59" s="9" t="s">
        <v>277</v>
      </c>
      <c r="M59" t="str">
        <f t="shared" si="3"/>
        <v xml:space="preserve">Covell F </v>
      </c>
      <c r="N59" t="str">
        <f t="shared" si="3"/>
        <v xml:space="preserve"> Pete </v>
      </c>
      <c r="O59" t="str">
        <f t="shared" si="3"/>
        <v/>
      </c>
      <c r="Q59" t="str">
        <f t="shared" si="4"/>
        <v>Meyskens</v>
      </c>
      <c r="R59" t="str">
        <f t="shared" si="4"/>
        <v>Millwood</v>
      </c>
      <c r="S59" t="str">
        <f t="shared" si="4"/>
        <v/>
      </c>
      <c r="AE59" t="s">
        <v>202</v>
      </c>
      <c r="AF59" t="s">
        <v>304</v>
      </c>
    </row>
    <row r="60" spans="1:32" x14ac:dyDescent="0.3">
      <c r="A60" s="12" t="s">
        <v>278</v>
      </c>
      <c r="B60" s="5" t="str">
        <f t="shared" si="2"/>
        <v xml:space="preserve">Monson, Jamie </v>
      </c>
      <c r="C60" s="13" t="s">
        <v>11</v>
      </c>
      <c r="D60" s="1"/>
      <c r="E60" s="1"/>
      <c r="F60" s="13" t="s">
        <v>208</v>
      </c>
      <c r="G60" s="1">
        <v>5187</v>
      </c>
      <c r="H60" s="13" t="s">
        <v>280</v>
      </c>
      <c r="I60" s="14">
        <v>45872</v>
      </c>
      <c r="J60" s="13" t="s">
        <v>281</v>
      </c>
      <c r="M60" t="str">
        <f t="shared" si="3"/>
        <v xml:space="preserve">Jamie </v>
      </c>
      <c r="N60" t="str">
        <f t="shared" si="3"/>
        <v/>
      </c>
      <c r="O60" t="str">
        <f t="shared" si="3"/>
        <v/>
      </c>
      <c r="Q60" t="str">
        <f t="shared" si="4"/>
        <v>Monson</v>
      </c>
      <c r="R60" t="str">
        <f t="shared" si="4"/>
        <v/>
      </c>
      <c r="S60" t="str">
        <f t="shared" si="4"/>
        <v/>
      </c>
      <c r="AE60" t="s">
        <v>279</v>
      </c>
    </row>
    <row r="61" spans="1:32" x14ac:dyDescent="0.3">
      <c r="O61" t="str">
        <f t="shared" ref="O61:O62" si="5">LEFT(AG61, LEN(AG61) - LEN(TRIM(RIGHT(SUBSTITUTE(AG61, " ", REPT(" ",100)),100))))</f>
        <v/>
      </c>
    </row>
    <row r="62" spans="1:32" x14ac:dyDescent="0.3">
      <c r="O62" t="str">
        <f t="shared" si="5"/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288DB6-1A25-4E80-A6E2-91F1D11976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taylorfrancisbib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Moss-Marks,E (ug)</cp:lastModifiedBy>
  <dcterms:created xsi:type="dcterms:W3CDTF">2025-08-27T12:25:12Z</dcterms:created>
  <dcterms:modified xsi:type="dcterms:W3CDTF">2025-08-28T14:01:39Z</dcterms:modified>
</cp:coreProperties>
</file>